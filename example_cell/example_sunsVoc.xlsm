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H:\2015\20150202 YMExp17&amp;18 cont\YM17 18 strip off n 2nd SiNx depo\SunsVoc\20150721\"/>
    </mc:Choice>
  </mc:AlternateContent>
  <bookViews>
    <workbookView xWindow="0" yWindow="0" windowWidth="25200" windowHeight="11985" tabRatio="619"/>
  </bookViews>
  <sheets>
    <sheet name="User" sheetId="7" r:id="rId1"/>
    <sheet name="Calc" sheetId="3" state="veryHidden" r:id="rId2"/>
    <sheet name="Settings" sheetId="10" r:id="rId3"/>
    <sheet name="Summary" sheetId="8" r:id="rId4"/>
    <sheet name="Command" sheetId="9" state="veryHidden" r:id="rId5"/>
    <sheet name="Module1" sheetId="6" state="veryHidden" r:id=""/>
    <sheet name="RawData" sheetId="11" r:id="rId6"/>
  </sheets>
  <functionGroups builtInGroupCount="18"/>
  <definedNames>
    <definedName name="AccessSummaryFN">Settings!$D$17</definedName>
    <definedName name="anscount" hidden="1">1</definedName>
    <definedName name="Apparent_Rs">Calc!$K$6</definedName>
    <definedName name="Ave_Ch1_Voltage">Calc!$U$4</definedName>
    <definedName name="BandGapSetting">Settings!$C$9</definedName>
    <definedName name="BaseTypeList">Command!$B$12:$B$13</definedName>
    <definedName name="_xlnm.Criteria">Calc!$A$9:$A$11</definedName>
    <definedName name="_xlnm.Database">Calc!$A$9</definedName>
    <definedName name="ErrorMsg">Calc!$L$1</definedName>
    <definedName name="eta_0_1sun">Calc!$O$6</definedName>
    <definedName name="eta_1sun">Calc!$P$6</definedName>
    <definedName name="ExcelSummaryFN">Settings!$D$15</definedName>
    <definedName name="IsLogged">User!$J$6</definedName>
    <definedName name="Jmp">Calc!$H$6</definedName>
    <definedName name="Jo_1">Calc!$M$6</definedName>
    <definedName name="Jo_1pA">User!$T$12</definedName>
    <definedName name="Jo_2">Calc!$N$6</definedName>
    <definedName name="Jo_2nA">User!$T$13</definedName>
    <definedName name="Jsc">User!$B$6</definedName>
    <definedName name="k">Calc!$I$3</definedName>
    <definedName name="Max_Ch1_voltage">Calc!$U$2</definedName>
    <definedName name="MaxPV">Calc!$D$6</definedName>
    <definedName name="MeasDate">Calc!$F$2</definedName>
    <definedName name="MeasTime">Calc!$F$3</definedName>
    <definedName name="MeasureCommand">Command!$F$12</definedName>
    <definedName name="MeasureTempCommand">Command!$F$14</definedName>
    <definedName name="Mode">Settings!$C$8</definedName>
    <definedName name="ModeList">Command!$B$4:$B$5</definedName>
    <definedName name="ni_SproulGreen">Calc!$C$6</definedName>
    <definedName name="NumCells">User!$C$6</definedName>
    <definedName name="OnOffList">Command!$B$15:$B$16</definedName>
    <definedName name="PCGainSetting">Settings!$F$6</definedName>
    <definedName name="PFF">Calc!$I$6</definedName>
    <definedName name="Pmax">Calc!$Q$6</definedName>
    <definedName name="_xlnm.Print_Area" localSheetId="0">User!$A$5:$O$54</definedName>
    <definedName name="Pseudo_Efficiency">Calc!$J$6</definedName>
    <definedName name="PulseLength">Settings!$F$4</definedName>
    <definedName name="q">Calc!$I$2</definedName>
    <definedName name="RefCellCal">Settings!$C$4</definedName>
    <definedName name="RefGainSetting">Settings!$F$5</definedName>
    <definedName name="Rsh_lower_bound">Calc!$L$6</definedName>
    <definedName name="Rshunt">User!$T$14</definedName>
    <definedName name="SampleDoping">Calc!$B$6</definedName>
    <definedName name="SampleNameUserSheet">User!$A$6</definedName>
    <definedName name="SerialNumber">Settings!$C$5</definedName>
    <definedName name="solver_adj" localSheetId="1" hidden="1">Calc!$T$12,Calc!$T$13,Calc!$T$14</definedName>
    <definedName name="solver_adj" localSheetId="2" hidden="1">User!$T$12,User!$T$13,User!$T$14</definedName>
    <definedName name="solver_adj" localSheetId="0" hidden="1">User!$T$12,User!$T$13,User!$T$14</definedName>
    <definedName name="solver_cvg" localSheetId="1" hidden="1">0.0001</definedName>
    <definedName name="solver_cvg" localSheetId="2" hidden="1">0.0001</definedName>
    <definedName name="solver_cvg" localSheetId="0" hidden="1">0.0001</definedName>
    <definedName name="solver_drv" localSheetId="1" hidden="1">1</definedName>
    <definedName name="solver_drv" localSheetId="2" hidden="1">1</definedName>
    <definedName name="solver_drv" localSheetId="0" hidden="1">1</definedName>
    <definedName name="solver_eng" localSheetId="1" hidden="1">1</definedName>
    <definedName name="solver_eng" localSheetId="0" hidden="1">1</definedName>
    <definedName name="solver_est" localSheetId="1" hidden="1">1</definedName>
    <definedName name="solver_est" localSheetId="2" hidden="1">1</definedName>
    <definedName name="solver_est" localSheetId="0" hidden="1">1</definedName>
    <definedName name="solver_itr" localSheetId="1" hidden="1">100</definedName>
    <definedName name="solver_itr" localSheetId="2" hidden="1">100</definedName>
    <definedName name="solver_itr" localSheetId="0" hidden="1">100</definedName>
    <definedName name="solver_lhs1" localSheetId="1" hidden="1">Calc!$T$12</definedName>
    <definedName name="solver_lhs1" localSheetId="2" hidden="1">User!$T$12</definedName>
    <definedName name="solver_lhs1" localSheetId="0" hidden="1">User!$T$12</definedName>
    <definedName name="solver_lhs10" localSheetId="0" hidden="1">User!#REF!</definedName>
    <definedName name="solver_lhs100" localSheetId="0" hidden="1">User!#REF!</definedName>
    <definedName name="solver_lhs101" localSheetId="0" hidden="1">User!#REF!</definedName>
    <definedName name="solver_lhs102" localSheetId="0" hidden="1">User!#REF!</definedName>
    <definedName name="solver_lhs103" localSheetId="0" hidden="1">User!#REF!</definedName>
    <definedName name="solver_lhs104" localSheetId="0" hidden="1">User!#REF!</definedName>
    <definedName name="solver_lhs105" localSheetId="0" hidden="1">User!$L$9</definedName>
    <definedName name="solver_lhs106" localSheetId="0" hidden="1">User!$L$9</definedName>
    <definedName name="solver_lhs107" localSheetId="0" hidden="1">User!#REF!</definedName>
    <definedName name="solver_lhs108" localSheetId="0" hidden="1">User!#REF!</definedName>
    <definedName name="solver_lhs109" localSheetId="0" hidden="1">User!#REF!</definedName>
    <definedName name="solver_lhs11" localSheetId="0" hidden="1">User!#REF!</definedName>
    <definedName name="solver_lhs110" localSheetId="0" hidden="1">User!#REF!</definedName>
    <definedName name="solver_lhs111" localSheetId="0" hidden="1">User!#REF!</definedName>
    <definedName name="solver_lhs112" localSheetId="0" hidden="1">User!#REF!</definedName>
    <definedName name="solver_lhs113" localSheetId="0" hidden="1">User!#REF!</definedName>
    <definedName name="solver_lhs114" localSheetId="0" hidden="1">User!$L$9</definedName>
    <definedName name="solver_lhs115" localSheetId="0" hidden="1">User!#REF!</definedName>
    <definedName name="solver_lhs116" localSheetId="0" hidden="1">User!#REF!</definedName>
    <definedName name="solver_lhs117" localSheetId="0" hidden="1">User!$L$9</definedName>
    <definedName name="solver_lhs118" localSheetId="0" hidden="1">User!$L$9</definedName>
    <definedName name="solver_lhs119" localSheetId="0" hidden="1">User!#REF!</definedName>
    <definedName name="solver_lhs12" localSheetId="0" hidden="1">User!#REF!</definedName>
    <definedName name="solver_lhs120" localSheetId="0" hidden="1">User!#REF!</definedName>
    <definedName name="solver_lhs121" localSheetId="0" hidden="1">User!#REF!</definedName>
    <definedName name="solver_lhs122" localSheetId="0" hidden="1">User!$L$9</definedName>
    <definedName name="solver_lhs123" localSheetId="0" hidden="1">User!#REF!</definedName>
    <definedName name="solver_lhs124" localSheetId="0" hidden="1">User!#REF!</definedName>
    <definedName name="solver_lhs125" localSheetId="0" hidden="1">User!#REF!</definedName>
    <definedName name="solver_lhs126" localSheetId="0" hidden="1">User!$L$9</definedName>
    <definedName name="solver_lhs127" localSheetId="0" hidden="1">User!#REF!</definedName>
    <definedName name="solver_lhs128" localSheetId="0" hidden="1">User!#REF!</definedName>
    <definedName name="solver_lhs129" localSheetId="0" hidden="1">User!$L$9</definedName>
    <definedName name="solver_lhs13" localSheetId="0" hidden="1">User!#REF!</definedName>
    <definedName name="solver_lhs130" localSheetId="0" hidden="1">User!$L$9</definedName>
    <definedName name="solver_lhs131" localSheetId="0" hidden="1">User!#REF!</definedName>
    <definedName name="solver_lhs132" localSheetId="0" hidden="1">User!#REF!</definedName>
    <definedName name="solver_lhs133" localSheetId="0" hidden="1">User!$L$9</definedName>
    <definedName name="solver_lhs134" localSheetId="0" hidden="1">User!$L$9</definedName>
    <definedName name="solver_lhs135" localSheetId="0" hidden="1">User!#REF!</definedName>
    <definedName name="solver_lhs136" localSheetId="0" hidden="1">User!#REF!</definedName>
    <definedName name="solver_lhs137" localSheetId="0" hidden="1">User!#REF!</definedName>
    <definedName name="solver_lhs138" localSheetId="0" hidden="1">User!$L$9</definedName>
    <definedName name="solver_lhs139" localSheetId="0" hidden="1">User!#REF!</definedName>
    <definedName name="solver_lhs14" localSheetId="0" hidden="1">User!#REF!</definedName>
    <definedName name="solver_lhs140" localSheetId="0" hidden="1">User!#REF!</definedName>
    <definedName name="solver_lhs141" localSheetId="0" hidden="1">User!#REF!</definedName>
    <definedName name="solver_lhs142" localSheetId="0" hidden="1">User!$L$9</definedName>
    <definedName name="solver_lhs143" localSheetId="0" hidden="1">User!#REF!</definedName>
    <definedName name="solver_lhs144" localSheetId="0" hidden="1">User!#REF!</definedName>
    <definedName name="solver_lhs145" localSheetId="0" hidden="1">User!$L$9</definedName>
    <definedName name="solver_lhs146" localSheetId="0" hidden="1">User!$L$9</definedName>
    <definedName name="solver_lhs147" localSheetId="0" hidden="1">User!#REF!</definedName>
    <definedName name="solver_lhs148" localSheetId="0" hidden="1">User!#REF!</definedName>
    <definedName name="solver_lhs149" localSheetId="0" hidden="1">User!#REF!</definedName>
    <definedName name="solver_lhs15" localSheetId="0" hidden="1">User!#REF!</definedName>
    <definedName name="solver_lhs150" localSheetId="0" hidden="1">User!$L$9</definedName>
    <definedName name="solver_lhs151" localSheetId="0" hidden="1">User!$L$9</definedName>
    <definedName name="solver_lhs152" localSheetId="0" hidden="1">User!$L$9</definedName>
    <definedName name="solver_lhs153" localSheetId="0" hidden="1">User!#REF!</definedName>
    <definedName name="solver_lhs154" localSheetId="0" hidden="1">User!#REF!</definedName>
    <definedName name="solver_lhs155" localSheetId="0" hidden="1">User!$L$9</definedName>
    <definedName name="solver_lhs156" localSheetId="0" hidden="1">User!$L$9</definedName>
    <definedName name="solver_lhs157" localSheetId="0" hidden="1">User!$L$9</definedName>
    <definedName name="solver_lhs158" localSheetId="0" hidden="1">User!#REF!</definedName>
    <definedName name="solver_lhs159" localSheetId="0" hidden="1">User!#REF!</definedName>
    <definedName name="solver_lhs16" localSheetId="0" hidden="1">User!#REF!</definedName>
    <definedName name="solver_lhs160" localSheetId="0" hidden="1">User!#REF!</definedName>
    <definedName name="solver_lhs161" localSheetId="0" hidden="1">User!$L$9</definedName>
    <definedName name="solver_lhs162" localSheetId="0" hidden="1">User!#REF!</definedName>
    <definedName name="solver_lhs163" localSheetId="0" hidden="1">User!#REF!</definedName>
    <definedName name="solver_lhs164" localSheetId="0" hidden="1">User!#REF!</definedName>
    <definedName name="solver_lhs165" localSheetId="0" hidden="1">User!#REF!</definedName>
    <definedName name="solver_lhs166" localSheetId="0" hidden="1">User!$L$9</definedName>
    <definedName name="solver_lhs167" localSheetId="0" hidden="1">User!#REF!</definedName>
    <definedName name="solver_lhs168" localSheetId="0" hidden="1">User!#REF!</definedName>
    <definedName name="solver_lhs169" localSheetId="0" hidden="1">User!#REF!</definedName>
    <definedName name="solver_lhs17" localSheetId="0" hidden="1">User!#REF!</definedName>
    <definedName name="solver_lhs170" localSheetId="0" hidden="1">User!#REF!</definedName>
    <definedName name="solver_lhs171" localSheetId="0" hidden="1">User!$L$9</definedName>
    <definedName name="solver_lhs172" localSheetId="0" hidden="1">User!#REF!</definedName>
    <definedName name="solver_lhs173" localSheetId="0" hidden="1">User!#REF!</definedName>
    <definedName name="solver_lhs174" localSheetId="0" hidden="1">User!#REF!</definedName>
    <definedName name="solver_lhs175" localSheetId="0" hidden="1">User!$L$9</definedName>
    <definedName name="solver_lhs176" localSheetId="0" hidden="1">User!$L$9</definedName>
    <definedName name="solver_lhs177" localSheetId="0" hidden="1">User!$L$9</definedName>
    <definedName name="solver_lhs178" localSheetId="0" hidden="1">User!#REF!</definedName>
    <definedName name="solver_lhs179" localSheetId="0" hidden="1">User!#REF!</definedName>
    <definedName name="solver_lhs18" localSheetId="0" hidden="1">User!#REF!</definedName>
    <definedName name="solver_lhs180" localSheetId="0" hidden="1">User!$L$9</definedName>
    <definedName name="solver_lhs181" localSheetId="0" hidden="1">User!$L$9</definedName>
    <definedName name="solver_lhs182" localSheetId="0" hidden="1">User!#REF!</definedName>
    <definedName name="solver_lhs183" localSheetId="0" hidden="1">User!#REF!</definedName>
    <definedName name="solver_lhs184" localSheetId="0" hidden="1">User!#REF!</definedName>
    <definedName name="solver_lhs185" localSheetId="0" hidden="1">User!#REF!</definedName>
    <definedName name="solver_lhs186" localSheetId="0" hidden="1">User!$L$9</definedName>
    <definedName name="solver_lhs187" localSheetId="0" hidden="1">User!#REF!</definedName>
    <definedName name="solver_lhs188" localSheetId="0" hidden="1">User!#REF!</definedName>
    <definedName name="solver_lhs189" localSheetId="0" hidden="1">User!#REF!</definedName>
    <definedName name="solver_lhs19" localSheetId="0" hidden="1">User!#REF!</definedName>
    <definedName name="solver_lhs190" localSheetId="0" hidden="1">User!#REF!</definedName>
    <definedName name="solver_lhs191" localSheetId="0" hidden="1">User!$L$9</definedName>
    <definedName name="solver_lhs192" localSheetId="0" hidden="1">User!$L$9</definedName>
    <definedName name="solver_lhs193" localSheetId="0" hidden="1">User!#REF!</definedName>
    <definedName name="solver_lhs194" localSheetId="0" hidden="1">User!#REF!</definedName>
    <definedName name="solver_lhs195" localSheetId="0" hidden="1">User!#REF!</definedName>
    <definedName name="solver_lhs196" localSheetId="0" hidden="1">User!$L$9</definedName>
    <definedName name="solver_lhs197" localSheetId="0" hidden="1">User!$L$9</definedName>
    <definedName name="solver_lhs198" localSheetId="0" hidden="1">User!#REF!</definedName>
    <definedName name="solver_lhs199" localSheetId="0" hidden="1">User!#REF!</definedName>
    <definedName name="solver_lhs2" localSheetId="1" hidden="1">Calc!$T$12</definedName>
    <definedName name="solver_lhs2" localSheetId="2" hidden="1">User!$T$13</definedName>
    <definedName name="solver_lhs2" localSheetId="0" hidden="1">User!$T$12</definedName>
    <definedName name="solver_lhs20" localSheetId="0" hidden="1">User!#REF!</definedName>
    <definedName name="solver_lhs200" localSheetId="0" hidden="1">User!$L$9</definedName>
    <definedName name="solver_lhs201" localSheetId="0" hidden="1">User!$L$9</definedName>
    <definedName name="solver_lhs202" localSheetId="0" hidden="1">User!#REF!</definedName>
    <definedName name="solver_lhs203" localSheetId="0" hidden="1">User!#REF!</definedName>
    <definedName name="solver_lhs204" localSheetId="0" hidden="1">User!#REF!</definedName>
    <definedName name="solver_lhs205" localSheetId="0" hidden="1">User!#REF!</definedName>
    <definedName name="solver_lhs206" localSheetId="0" hidden="1">User!$L$9</definedName>
    <definedName name="solver_lhs207" localSheetId="0" hidden="1">User!#REF!</definedName>
    <definedName name="solver_lhs208" localSheetId="0" hidden="1">User!#REF!</definedName>
    <definedName name="solver_lhs209" localSheetId="0" hidden="1">User!#REF!</definedName>
    <definedName name="solver_lhs21" localSheetId="0" hidden="1">User!#REF!</definedName>
    <definedName name="solver_lhs210" localSheetId="0" hidden="1">User!$L$9</definedName>
    <definedName name="solver_lhs211" localSheetId="0" hidden="1">User!$L$9</definedName>
    <definedName name="solver_lhs212" localSheetId="0" hidden="1">User!$L$9</definedName>
    <definedName name="solver_lhs213" localSheetId="0" hidden="1">User!#REF!</definedName>
    <definedName name="solver_lhs214" localSheetId="0" hidden="1">User!#REF!</definedName>
    <definedName name="solver_lhs215" localSheetId="0" hidden="1">User!$L$9</definedName>
    <definedName name="solver_lhs216" localSheetId="0" hidden="1">User!$L$9</definedName>
    <definedName name="solver_lhs217" localSheetId="0" hidden="1">User!$L$9</definedName>
    <definedName name="solver_lhs218" localSheetId="0" hidden="1">User!#REF!</definedName>
    <definedName name="solver_lhs219" localSheetId="0" hidden="1">User!#REF!</definedName>
    <definedName name="solver_lhs22" localSheetId="0" hidden="1">User!#REF!</definedName>
    <definedName name="solver_lhs220" localSheetId="0" hidden="1">User!$L$9</definedName>
    <definedName name="solver_lhs221" localSheetId="0" hidden="1">User!$L$9</definedName>
    <definedName name="solver_lhs222" localSheetId="0" hidden="1">User!#REF!</definedName>
    <definedName name="solver_lhs223" localSheetId="0" hidden="1">User!#REF!</definedName>
    <definedName name="solver_lhs224" localSheetId="0" hidden="1">User!#REF!</definedName>
    <definedName name="solver_lhs225" localSheetId="0" hidden="1">User!$L$9</definedName>
    <definedName name="solver_lhs226" localSheetId="0" hidden="1">User!$L$9</definedName>
    <definedName name="solver_lhs227" localSheetId="0" hidden="1">User!$L$9</definedName>
    <definedName name="solver_lhs228" localSheetId="0" hidden="1">User!#REF!</definedName>
    <definedName name="solver_lhs229" localSheetId="0" hidden="1">User!#REF!</definedName>
    <definedName name="solver_lhs23" localSheetId="0" hidden="1">User!#REF!</definedName>
    <definedName name="solver_lhs230" localSheetId="0" hidden="1">User!$L$9</definedName>
    <definedName name="solver_lhs231" localSheetId="0" hidden="1">User!$L$9</definedName>
    <definedName name="solver_lhs232" localSheetId="0" hidden="1">User!$L$9</definedName>
    <definedName name="solver_lhs233" localSheetId="0" hidden="1">User!#REF!</definedName>
    <definedName name="solver_lhs234" localSheetId="0" hidden="1">User!#REF!</definedName>
    <definedName name="solver_lhs235" localSheetId="0" hidden="1">User!$L$9</definedName>
    <definedName name="solver_lhs236" localSheetId="0" hidden="1">User!$L$9</definedName>
    <definedName name="solver_lhs237" localSheetId="0" hidden="1">User!#REF!</definedName>
    <definedName name="solver_lhs238" localSheetId="0" hidden="1">User!#REF!</definedName>
    <definedName name="solver_lhs239" localSheetId="0" hidden="1">User!#REF!</definedName>
    <definedName name="solver_lhs24" localSheetId="0" hidden="1">User!#REF!</definedName>
    <definedName name="solver_lhs240" localSheetId="0" hidden="1">User!$L$9</definedName>
    <definedName name="solver_lhs241" localSheetId="0" hidden="1">User!$L$9</definedName>
    <definedName name="solver_lhs242" localSheetId="0" hidden="1">User!$L$9</definedName>
    <definedName name="solver_lhs243" localSheetId="0" hidden="1">User!#REF!</definedName>
    <definedName name="solver_lhs244" localSheetId="0" hidden="1">User!#REF!</definedName>
    <definedName name="solver_lhs245" localSheetId="0" hidden="1">User!$L$9</definedName>
    <definedName name="solver_lhs246" localSheetId="0" hidden="1">User!$L$9</definedName>
    <definedName name="solver_lhs247" localSheetId="0" hidden="1">User!$L$9</definedName>
    <definedName name="solver_lhs248" localSheetId="0" hidden="1">User!#REF!</definedName>
    <definedName name="solver_lhs249" localSheetId="0" hidden="1">User!#REF!</definedName>
    <definedName name="solver_lhs25" localSheetId="0" hidden="1">User!#REF!</definedName>
    <definedName name="solver_lhs250" localSheetId="0" hidden="1">User!$L$9</definedName>
    <definedName name="solver_lhs251" localSheetId="0" hidden="1">User!$L$9</definedName>
    <definedName name="solver_lhs252" localSheetId="0" hidden="1">User!#REF!</definedName>
    <definedName name="solver_lhs253" localSheetId="0" hidden="1">User!#REF!</definedName>
    <definedName name="solver_lhs254" localSheetId="0" hidden="1">User!#REF!</definedName>
    <definedName name="solver_lhs255" localSheetId="0" hidden="1">User!$L$9</definedName>
    <definedName name="solver_lhs256" localSheetId="0" hidden="1">User!$L$9</definedName>
    <definedName name="solver_lhs257" localSheetId="0" hidden="1">User!$L$9</definedName>
    <definedName name="solver_lhs258" localSheetId="0" hidden="1">User!#REF!</definedName>
    <definedName name="solver_lhs259" localSheetId="0" hidden="1">User!#REF!</definedName>
    <definedName name="solver_lhs26" localSheetId="0" hidden="1">User!#REF!</definedName>
    <definedName name="solver_lhs260" localSheetId="0" hidden="1">User!$L$9</definedName>
    <definedName name="solver_lhs261" localSheetId="0" hidden="1">User!$L$9</definedName>
    <definedName name="solver_lhs262" localSheetId="0" hidden="1">User!#REF!</definedName>
    <definedName name="solver_lhs263" localSheetId="0" hidden="1">User!#REF!</definedName>
    <definedName name="solver_lhs264" localSheetId="0" hidden="1">User!#REF!</definedName>
    <definedName name="solver_lhs265" localSheetId="0" hidden="1">User!$L$9</definedName>
    <definedName name="solver_lhs266" localSheetId="0" hidden="1">User!$L$9</definedName>
    <definedName name="solver_lhs267" localSheetId="0" hidden="1">User!#REF!</definedName>
    <definedName name="solver_lhs268" localSheetId="0" hidden="1">User!#REF!</definedName>
    <definedName name="solver_lhs269" localSheetId="0" hidden="1">User!#REF!</definedName>
    <definedName name="solver_lhs27" localSheetId="0" hidden="1">User!#REF!</definedName>
    <definedName name="solver_lhs270" localSheetId="0" hidden="1">User!$L$9</definedName>
    <definedName name="solver_lhs271" localSheetId="0" hidden="1">User!$L$9</definedName>
    <definedName name="solver_lhs272" localSheetId="0" hidden="1">User!$L$9</definedName>
    <definedName name="solver_lhs273" localSheetId="0" hidden="1">User!#REF!</definedName>
    <definedName name="solver_lhs274" localSheetId="0" hidden="1">User!#REF!</definedName>
    <definedName name="solver_lhs275" localSheetId="0" hidden="1">User!$L$9</definedName>
    <definedName name="solver_lhs276" localSheetId="0" hidden="1">User!$L$9</definedName>
    <definedName name="solver_lhs277" localSheetId="0" hidden="1">User!#REF!</definedName>
    <definedName name="solver_lhs278" localSheetId="0" hidden="1">User!#REF!</definedName>
    <definedName name="solver_lhs279" localSheetId="0" hidden="1">User!$L$9</definedName>
    <definedName name="solver_lhs28" localSheetId="0" hidden="1">User!#REF!</definedName>
    <definedName name="solver_lhs280" localSheetId="0" hidden="1">User!$L$9</definedName>
    <definedName name="solver_lhs281" localSheetId="0" hidden="1">User!$L$9</definedName>
    <definedName name="solver_lhs282" localSheetId="0" hidden="1">User!#REF!</definedName>
    <definedName name="solver_lhs283" localSheetId="0" hidden="1">User!#REF!</definedName>
    <definedName name="solver_lhs284" localSheetId="0" hidden="1">User!#REF!</definedName>
    <definedName name="solver_lhs285" localSheetId="0" hidden="1">User!$L$9</definedName>
    <definedName name="solver_lhs286" localSheetId="0" hidden="1">User!$L$9</definedName>
    <definedName name="solver_lhs287" localSheetId="0" hidden="1">User!$L$9</definedName>
    <definedName name="solver_lhs288" localSheetId="0" hidden="1">User!#REF!</definedName>
    <definedName name="solver_lhs289" localSheetId="0" hidden="1">User!#REF!</definedName>
    <definedName name="solver_lhs29" localSheetId="0" hidden="1">User!#REF!</definedName>
    <definedName name="solver_lhs290" localSheetId="0" hidden="1">User!$L$9</definedName>
    <definedName name="solver_lhs291" localSheetId="0" hidden="1">User!$L$9</definedName>
    <definedName name="solver_lhs292" localSheetId="0" hidden="1">User!$L$9</definedName>
    <definedName name="solver_lhs293" localSheetId="0" hidden="1">User!#REF!</definedName>
    <definedName name="solver_lhs294" localSheetId="0" hidden="1">User!#REF!</definedName>
    <definedName name="solver_lhs295" localSheetId="0" hidden="1">User!$L$9</definedName>
    <definedName name="solver_lhs296" localSheetId="0" hidden="1">User!$L$9</definedName>
    <definedName name="solver_lhs297" localSheetId="0" hidden="1">User!#REF!</definedName>
    <definedName name="solver_lhs298" localSheetId="0" hidden="1">User!#REF!</definedName>
    <definedName name="solver_lhs299" localSheetId="0" hidden="1">User!#REF!</definedName>
    <definedName name="solver_lhs3" localSheetId="1" hidden="1">Calc!$T$13</definedName>
    <definedName name="solver_lhs3" localSheetId="2" hidden="1">User!$T$14</definedName>
    <definedName name="solver_lhs3" localSheetId="0" hidden="1">User!$T$13</definedName>
    <definedName name="solver_lhs30" localSheetId="0" hidden="1">User!#REF!</definedName>
    <definedName name="solver_lhs300" localSheetId="0" hidden="1">User!$L$9</definedName>
    <definedName name="solver_lhs301" localSheetId="0" hidden="1">User!$L$9</definedName>
    <definedName name="solver_lhs302" localSheetId="0" hidden="1">User!#REF!</definedName>
    <definedName name="solver_lhs303" localSheetId="0" hidden="1">User!#REF!</definedName>
    <definedName name="solver_lhs304" localSheetId="0" hidden="1">User!#REF!</definedName>
    <definedName name="solver_lhs305" localSheetId="0" hidden="1">User!$L$9</definedName>
    <definedName name="solver_lhs306" localSheetId="0" hidden="1">User!$L$9</definedName>
    <definedName name="solver_lhs307" localSheetId="0" hidden="1">User!$L$9</definedName>
    <definedName name="solver_lhs308" localSheetId="0" hidden="1">User!#REF!</definedName>
    <definedName name="solver_lhs309" localSheetId="0" hidden="1">User!#REF!</definedName>
    <definedName name="solver_lhs31" localSheetId="0" hidden="1">User!#REF!</definedName>
    <definedName name="solver_lhs310" localSheetId="0" hidden="1">User!$L$9</definedName>
    <definedName name="solver_lhs311" localSheetId="0" hidden="1">User!$L$9</definedName>
    <definedName name="solver_lhs312" localSheetId="0" hidden="1">User!$L$9</definedName>
    <definedName name="solver_lhs313" localSheetId="0" hidden="1">User!#REF!</definedName>
    <definedName name="solver_lhs314" localSheetId="0" hidden="1">User!#REF!</definedName>
    <definedName name="solver_lhs315" localSheetId="0" hidden="1">User!$L$9</definedName>
    <definedName name="solver_lhs316" localSheetId="0" hidden="1">User!$L$9</definedName>
    <definedName name="solver_lhs317" localSheetId="0" hidden="1">User!#REF!</definedName>
    <definedName name="solver_lhs318" localSheetId="0" hidden="1">User!#REF!</definedName>
    <definedName name="solver_lhs319" localSheetId="0" hidden="1">User!#REF!</definedName>
    <definedName name="solver_lhs32" localSheetId="0" hidden="1">User!#REF!</definedName>
    <definedName name="solver_lhs320" localSheetId="0" hidden="1">User!$L$9</definedName>
    <definedName name="solver_lhs321" localSheetId="0" hidden="1">User!$L$9</definedName>
    <definedName name="solver_lhs322" localSheetId="0" hidden="1">User!#REF!</definedName>
    <definedName name="solver_lhs323" localSheetId="0" hidden="1">User!#REF!</definedName>
    <definedName name="solver_lhs324" localSheetId="0" hidden="1">User!#REF!</definedName>
    <definedName name="solver_lhs325" localSheetId="0" hidden="1">User!$L$9</definedName>
    <definedName name="solver_lhs326" localSheetId="0" hidden="1">User!$L$9</definedName>
    <definedName name="solver_lhs327" localSheetId="0" hidden="1">User!$L$9</definedName>
    <definedName name="solver_lhs328" localSheetId="0" hidden="1">User!#REF!</definedName>
    <definedName name="solver_lhs329" localSheetId="0" hidden="1">User!#REF!</definedName>
    <definedName name="solver_lhs33" localSheetId="0" hidden="1">User!#REF!</definedName>
    <definedName name="solver_lhs330" localSheetId="0" hidden="1">User!$L$9</definedName>
    <definedName name="solver_lhs331" localSheetId="0" hidden="1">User!$L$9</definedName>
    <definedName name="solver_lhs332" localSheetId="0" hidden="1">User!$L$9</definedName>
    <definedName name="solver_lhs333" localSheetId="0" hidden="1">User!#REF!</definedName>
    <definedName name="solver_lhs334" localSheetId="0" hidden="1">User!#REF!</definedName>
    <definedName name="solver_lhs335" localSheetId="0" hidden="1">User!$L$9</definedName>
    <definedName name="solver_lhs336" localSheetId="0" hidden="1">User!$L$9</definedName>
    <definedName name="solver_lhs337" localSheetId="0" hidden="1">User!#REF!</definedName>
    <definedName name="solver_lhs338" localSheetId="0" hidden="1">User!#REF!</definedName>
    <definedName name="solver_lhs339" localSheetId="0" hidden="1">User!$L$9</definedName>
    <definedName name="solver_lhs34" localSheetId="0" hidden="1">User!#REF!</definedName>
    <definedName name="solver_lhs340" localSheetId="0" hidden="1">User!$L$9</definedName>
    <definedName name="solver_lhs341" localSheetId="0" hidden="1">User!#REF!</definedName>
    <definedName name="solver_lhs342" localSheetId="0" hidden="1">User!#REF!</definedName>
    <definedName name="solver_lhs343" localSheetId="0" hidden="1">User!$L$9</definedName>
    <definedName name="solver_lhs344" localSheetId="0" hidden="1">User!$L$9</definedName>
    <definedName name="solver_lhs345" localSheetId="0" hidden="1">User!#REF!</definedName>
    <definedName name="solver_lhs346" localSheetId="0" hidden="1">User!#REF!</definedName>
    <definedName name="solver_lhs347" localSheetId="0" hidden="1">User!$L$9</definedName>
    <definedName name="solver_lhs348" localSheetId="0" hidden="1">User!$L$9</definedName>
    <definedName name="solver_lhs349" localSheetId="0" hidden="1">User!#REF!</definedName>
    <definedName name="solver_lhs35" localSheetId="0" hidden="1">User!#REF!</definedName>
    <definedName name="solver_lhs350" localSheetId="0" hidden="1">User!#REF!</definedName>
    <definedName name="solver_lhs351" localSheetId="0" hidden="1">User!$L$9</definedName>
    <definedName name="solver_lhs352" localSheetId="0" hidden="1">User!$L$9</definedName>
    <definedName name="solver_lhs353" localSheetId="0" hidden="1">User!#REF!</definedName>
    <definedName name="solver_lhs354" localSheetId="0" hidden="1">User!#REF!</definedName>
    <definedName name="solver_lhs355" localSheetId="0" hidden="1">User!$L$9</definedName>
    <definedName name="solver_lhs356" localSheetId="0" hidden="1">User!$L$9</definedName>
    <definedName name="solver_lhs357" localSheetId="0" hidden="1">User!#REF!</definedName>
    <definedName name="solver_lhs358" localSheetId="0" hidden="1">User!#REF!</definedName>
    <definedName name="solver_lhs359" localSheetId="0" hidden="1">User!$L$9</definedName>
    <definedName name="solver_lhs36" localSheetId="0" hidden="1">User!#REF!</definedName>
    <definedName name="solver_lhs360" localSheetId="0" hidden="1">User!$L$9</definedName>
    <definedName name="solver_lhs361" localSheetId="0" hidden="1">User!#REF!</definedName>
    <definedName name="solver_lhs362" localSheetId="0" hidden="1">User!#REF!</definedName>
    <definedName name="solver_lhs363" localSheetId="0" hidden="1">User!$L$9</definedName>
    <definedName name="solver_lhs364" localSheetId="0" hidden="1">User!$L$9</definedName>
    <definedName name="solver_lhs365" localSheetId="0" hidden="1">User!#REF!</definedName>
    <definedName name="solver_lhs366" localSheetId="0" hidden="1">User!#REF!</definedName>
    <definedName name="solver_lhs367" localSheetId="0" hidden="1">User!$L$9</definedName>
    <definedName name="solver_lhs37" localSheetId="0" hidden="1">User!#REF!</definedName>
    <definedName name="solver_lhs38" localSheetId="0" hidden="1">User!#REF!</definedName>
    <definedName name="solver_lhs39" localSheetId="0" hidden="1">User!#REF!</definedName>
    <definedName name="solver_lhs4" localSheetId="1" hidden="1">Calc!$T$12</definedName>
    <definedName name="solver_lhs4" localSheetId="0" hidden="1">User!$T$12</definedName>
    <definedName name="solver_lhs40" localSheetId="0" hidden="1">User!#REF!</definedName>
    <definedName name="solver_lhs41" localSheetId="0" hidden="1">User!#REF!</definedName>
    <definedName name="solver_lhs42" localSheetId="0" hidden="1">User!#REF!</definedName>
    <definedName name="solver_lhs43" localSheetId="0" hidden="1">User!#REF!</definedName>
    <definedName name="solver_lhs44" localSheetId="0" hidden="1">User!#REF!</definedName>
    <definedName name="solver_lhs45" localSheetId="0" hidden="1">User!#REF!</definedName>
    <definedName name="solver_lhs46" localSheetId="0" hidden="1">User!#REF!</definedName>
    <definedName name="solver_lhs47" localSheetId="0" hidden="1">User!#REF!</definedName>
    <definedName name="solver_lhs48" localSheetId="0" hidden="1">User!#REF!</definedName>
    <definedName name="solver_lhs49" localSheetId="0" hidden="1">User!#REF!</definedName>
    <definedName name="solver_lhs5" localSheetId="1" hidden="1">Calc!$T$14</definedName>
    <definedName name="solver_lhs5" localSheetId="0" hidden="1">User!$T$14</definedName>
    <definedName name="solver_lhs50" localSheetId="0" hidden="1">User!#REF!</definedName>
    <definedName name="solver_lhs51" localSheetId="0" hidden="1">User!#REF!</definedName>
    <definedName name="solver_lhs52" localSheetId="0" hidden="1">User!#REF!</definedName>
    <definedName name="solver_lhs53" localSheetId="0" hidden="1">User!#REF!</definedName>
    <definedName name="solver_lhs54" localSheetId="0" hidden="1">User!#REF!</definedName>
    <definedName name="solver_lhs55" localSheetId="0" hidden="1">User!#REF!</definedName>
    <definedName name="solver_lhs56" localSheetId="0" hidden="1">User!#REF!</definedName>
    <definedName name="solver_lhs57" localSheetId="0" hidden="1">User!#REF!</definedName>
    <definedName name="solver_lhs58" localSheetId="0" hidden="1">User!#REF!</definedName>
    <definedName name="solver_lhs59" localSheetId="0" hidden="1">User!#REF!</definedName>
    <definedName name="solver_lhs6" localSheetId="1" hidden="1">Calc!$T$14</definedName>
    <definedName name="solver_lhs6" localSheetId="0" hidden="1">User!$T$14</definedName>
    <definedName name="solver_lhs60" localSheetId="0" hidden="1">User!#REF!</definedName>
    <definedName name="solver_lhs61" localSheetId="0" hidden="1">User!#REF!</definedName>
    <definedName name="solver_lhs62" localSheetId="0" hidden="1">User!#REF!</definedName>
    <definedName name="solver_lhs63" localSheetId="0" hidden="1">User!#REF!</definedName>
    <definedName name="solver_lhs64" localSheetId="0" hidden="1">User!#REF!</definedName>
    <definedName name="solver_lhs65" localSheetId="0" hidden="1">User!#REF!</definedName>
    <definedName name="solver_lhs66" localSheetId="0" hidden="1">User!$L$9</definedName>
    <definedName name="solver_lhs67" localSheetId="0" hidden="1">User!#REF!</definedName>
    <definedName name="solver_lhs68" localSheetId="0" hidden="1">User!#REF!</definedName>
    <definedName name="solver_lhs69" localSheetId="0" hidden="1">User!#REF!</definedName>
    <definedName name="solver_lhs7" localSheetId="0" hidden="1">User!#REF!</definedName>
    <definedName name="solver_lhs70" localSheetId="0" hidden="1">User!#REF!</definedName>
    <definedName name="solver_lhs71" localSheetId="0" hidden="1">User!#REF!</definedName>
    <definedName name="solver_lhs72" localSheetId="0" hidden="1">User!#REF!</definedName>
    <definedName name="solver_lhs73" localSheetId="0" hidden="1">User!#REF!</definedName>
    <definedName name="solver_lhs74" localSheetId="0" hidden="1">User!$L$9</definedName>
    <definedName name="solver_lhs75" localSheetId="0" hidden="1">User!#REF!</definedName>
    <definedName name="solver_lhs76" localSheetId="0" hidden="1">User!#REF!</definedName>
    <definedName name="solver_lhs77" localSheetId="0" hidden="1">User!$L$9</definedName>
    <definedName name="solver_lhs78" localSheetId="0" hidden="1">User!#REF!</definedName>
    <definedName name="solver_lhs79" localSheetId="0" hidden="1">User!#REF!</definedName>
    <definedName name="solver_lhs8" localSheetId="0" hidden="1">User!#REF!</definedName>
    <definedName name="solver_lhs80" localSheetId="0" hidden="1">User!#REF!</definedName>
    <definedName name="solver_lhs81" localSheetId="0" hidden="1">User!#REF!</definedName>
    <definedName name="solver_lhs82" localSheetId="0" hidden="1">User!$L$9</definedName>
    <definedName name="solver_lhs83" localSheetId="0" hidden="1">User!#REF!</definedName>
    <definedName name="solver_lhs84" localSheetId="0" hidden="1">User!#REF!</definedName>
    <definedName name="solver_lhs85" localSheetId="0" hidden="1">User!$L$9</definedName>
    <definedName name="solver_lhs86" localSheetId="0" hidden="1">User!$L$9</definedName>
    <definedName name="solver_lhs87" localSheetId="0" hidden="1">User!#REF!</definedName>
    <definedName name="solver_lhs88" localSheetId="0" hidden="1">User!#REF!</definedName>
    <definedName name="solver_lhs89" localSheetId="0" hidden="1">User!#REF!</definedName>
    <definedName name="solver_lhs9" localSheetId="0" hidden="1">User!#REF!</definedName>
    <definedName name="solver_lhs90" localSheetId="0" hidden="1">User!#REF!</definedName>
    <definedName name="solver_lhs91" localSheetId="0" hidden="1">User!#REF!</definedName>
    <definedName name="solver_lhs92" localSheetId="0" hidden="1">User!#REF!</definedName>
    <definedName name="solver_lhs93" localSheetId="0" hidden="1">User!$L$9</definedName>
    <definedName name="solver_lhs94" localSheetId="0" hidden="1">User!$L$9</definedName>
    <definedName name="solver_lhs95" localSheetId="0" hidden="1">User!#REF!</definedName>
    <definedName name="solver_lhs96" localSheetId="0" hidden="1">User!#REF!</definedName>
    <definedName name="solver_lhs97" localSheetId="0" hidden="1">User!$L$9</definedName>
    <definedName name="solver_lhs98" localSheetId="0" hidden="1">User!#REF!</definedName>
    <definedName name="solver_lhs99" localSheetId="0" hidden="1">User!#REF!</definedName>
    <definedName name="solver_lin" localSheetId="1" hidden="1">2</definedName>
    <definedName name="solver_lin" localSheetId="2" hidden="1">2</definedName>
    <definedName name="solver_lin" localSheetId="0" hidden="1">2</definedName>
    <definedName name="solver_neg" localSheetId="1" hidden="1">1</definedName>
    <definedName name="solver_neg" localSheetId="2" hidden="1">2</definedName>
    <definedName name="solver_neg" localSheetId="0" hidden="1">1</definedName>
    <definedName name="solver_num" localSheetId="1" hidden="1">6</definedName>
    <definedName name="solver_num" localSheetId="2" hidden="1">3</definedName>
    <definedName name="solver_num" localSheetId="0" hidden="1">6</definedName>
    <definedName name="solver_nwt" localSheetId="1" hidden="1">1</definedName>
    <definedName name="solver_nwt" localSheetId="2" hidden="1">1</definedName>
    <definedName name="solver_nwt" localSheetId="0" hidden="1">1</definedName>
    <definedName name="solver_opt" localSheetId="1" hidden="1">Calc!$T$15</definedName>
    <definedName name="solver_opt" localSheetId="2" hidden="1">User!$T$15</definedName>
    <definedName name="solver_opt" localSheetId="0" hidden="1">User!$T$15</definedName>
    <definedName name="solver_pre" localSheetId="1" hidden="1">0.000001</definedName>
    <definedName name="solver_pre" localSheetId="2" hidden="1">0.000001</definedName>
    <definedName name="solver_pre" localSheetId="0" hidden="1">0.000001</definedName>
    <definedName name="solver_rel1" localSheetId="1" hidden="1">3</definedName>
    <definedName name="solver_rel1" localSheetId="2" hidden="1">3</definedName>
    <definedName name="solver_rel1" localSheetId="0" hidden="1">3</definedName>
    <definedName name="solver_rel10" localSheetId="0" hidden="1">3</definedName>
    <definedName name="solver_rel100" localSheetId="0" hidden="1">3</definedName>
    <definedName name="solver_rel101" localSheetId="0" hidden="1">3</definedName>
    <definedName name="solver_rel102" localSheetId="0" hidden="1">3</definedName>
    <definedName name="solver_rel103" localSheetId="0" hidden="1">3</definedName>
    <definedName name="solver_rel104" localSheetId="0" hidden="1">3</definedName>
    <definedName name="solver_rel105" localSheetId="0" hidden="1">3</definedName>
    <definedName name="solver_rel106" localSheetId="0" hidden="1">3</definedName>
    <definedName name="solver_rel107" localSheetId="0" hidden="1">3</definedName>
    <definedName name="solver_rel108" localSheetId="0" hidden="1">3</definedName>
    <definedName name="solver_rel109" localSheetId="0" hidden="1">3</definedName>
    <definedName name="solver_rel11" localSheetId="0" hidden="1">3</definedName>
    <definedName name="solver_rel110" localSheetId="0" hidden="1">3</definedName>
    <definedName name="solver_rel111" localSheetId="0" hidden="1">3</definedName>
    <definedName name="solver_rel112" localSheetId="0" hidden="1">3</definedName>
    <definedName name="solver_rel113" localSheetId="0" hidden="1">3</definedName>
    <definedName name="solver_rel114" localSheetId="0" hidden="1">3</definedName>
    <definedName name="solver_rel115" localSheetId="0" hidden="1">3</definedName>
    <definedName name="solver_rel116" localSheetId="0" hidden="1">3</definedName>
    <definedName name="solver_rel117" localSheetId="0" hidden="1">3</definedName>
    <definedName name="solver_rel118" localSheetId="0" hidden="1">3</definedName>
    <definedName name="solver_rel119" localSheetId="0" hidden="1">3</definedName>
    <definedName name="solver_rel12" localSheetId="0" hidden="1">3</definedName>
    <definedName name="solver_rel120" localSheetId="0" hidden="1">3</definedName>
    <definedName name="solver_rel121" localSheetId="0" hidden="1">3</definedName>
    <definedName name="solver_rel122" localSheetId="0" hidden="1">3</definedName>
    <definedName name="solver_rel123" localSheetId="0" hidden="1">3</definedName>
    <definedName name="solver_rel124" localSheetId="0" hidden="1">3</definedName>
    <definedName name="solver_rel125" localSheetId="0" hidden="1">3</definedName>
    <definedName name="solver_rel126" localSheetId="0" hidden="1">3</definedName>
    <definedName name="solver_rel127" localSheetId="0" hidden="1">3</definedName>
    <definedName name="solver_rel128" localSheetId="0" hidden="1">3</definedName>
    <definedName name="solver_rel129" localSheetId="0" hidden="1">3</definedName>
    <definedName name="solver_rel13" localSheetId="0" hidden="1">3</definedName>
    <definedName name="solver_rel130" localSheetId="0" hidden="1">3</definedName>
    <definedName name="solver_rel131" localSheetId="0" hidden="1">3</definedName>
    <definedName name="solver_rel132" localSheetId="0" hidden="1">3</definedName>
    <definedName name="solver_rel133" localSheetId="0" hidden="1">3</definedName>
    <definedName name="solver_rel134" localSheetId="0" hidden="1">3</definedName>
    <definedName name="solver_rel135" localSheetId="0" hidden="1">3</definedName>
    <definedName name="solver_rel136" localSheetId="0" hidden="1">3</definedName>
    <definedName name="solver_rel137" localSheetId="0" hidden="1">3</definedName>
    <definedName name="solver_rel138" localSheetId="0" hidden="1">3</definedName>
    <definedName name="solver_rel139" localSheetId="0" hidden="1">3</definedName>
    <definedName name="solver_rel14" localSheetId="0" hidden="1">3</definedName>
    <definedName name="solver_rel140" localSheetId="0" hidden="1">3</definedName>
    <definedName name="solver_rel141" localSheetId="0" hidden="1">3</definedName>
    <definedName name="solver_rel142" localSheetId="0" hidden="1">3</definedName>
    <definedName name="solver_rel143" localSheetId="0" hidden="1">3</definedName>
    <definedName name="solver_rel144" localSheetId="0" hidden="1">3</definedName>
    <definedName name="solver_rel145" localSheetId="0" hidden="1">3</definedName>
    <definedName name="solver_rel146" localSheetId="0" hidden="1">3</definedName>
    <definedName name="solver_rel147" localSheetId="0" hidden="1">3</definedName>
    <definedName name="solver_rel148" localSheetId="0" hidden="1">3</definedName>
    <definedName name="solver_rel149" localSheetId="0" hidden="1">3</definedName>
    <definedName name="solver_rel15" localSheetId="0" hidden="1">3</definedName>
    <definedName name="solver_rel150" localSheetId="0" hidden="1">3</definedName>
    <definedName name="solver_rel151" localSheetId="0" hidden="1">3</definedName>
    <definedName name="solver_rel152" localSheetId="0" hidden="1">3</definedName>
    <definedName name="solver_rel153" localSheetId="0" hidden="1">3</definedName>
    <definedName name="solver_rel154" localSheetId="0" hidden="1">3</definedName>
    <definedName name="solver_rel155" localSheetId="0" hidden="1">3</definedName>
    <definedName name="solver_rel156" localSheetId="0" hidden="1">3</definedName>
    <definedName name="solver_rel157" localSheetId="0" hidden="1">3</definedName>
    <definedName name="solver_rel158" localSheetId="0" hidden="1">3</definedName>
    <definedName name="solver_rel159" localSheetId="0" hidden="1">3</definedName>
    <definedName name="solver_rel16" localSheetId="0" hidden="1">3</definedName>
    <definedName name="solver_rel160" localSheetId="0" hidden="1">3</definedName>
    <definedName name="solver_rel161" localSheetId="0" hidden="1">3</definedName>
    <definedName name="solver_rel162" localSheetId="0" hidden="1">3</definedName>
    <definedName name="solver_rel163" localSheetId="0" hidden="1">3</definedName>
    <definedName name="solver_rel164" localSheetId="0" hidden="1">3</definedName>
    <definedName name="solver_rel165" localSheetId="0" hidden="1">3</definedName>
    <definedName name="solver_rel166" localSheetId="0" hidden="1">3</definedName>
    <definedName name="solver_rel167" localSheetId="0" hidden="1">3</definedName>
    <definedName name="solver_rel168" localSheetId="0" hidden="1">3</definedName>
    <definedName name="solver_rel169" localSheetId="0" hidden="1">3</definedName>
    <definedName name="solver_rel17" localSheetId="0" hidden="1">3</definedName>
    <definedName name="solver_rel170" localSheetId="0" hidden="1">3</definedName>
    <definedName name="solver_rel171" localSheetId="0" hidden="1">3</definedName>
    <definedName name="solver_rel172" localSheetId="0" hidden="1">3</definedName>
    <definedName name="solver_rel173" localSheetId="0" hidden="1">3</definedName>
    <definedName name="solver_rel174" localSheetId="0" hidden="1">3</definedName>
    <definedName name="solver_rel175" localSheetId="0" hidden="1">3</definedName>
    <definedName name="solver_rel176" localSheetId="0" hidden="1">3</definedName>
    <definedName name="solver_rel177" localSheetId="0" hidden="1">3</definedName>
    <definedName name="solver_rel178" localSheetId="0" hidden="1">3</definedName>
    <definedName name="solver_rel179" localSheetId="0" hidden="1">3</definedName>
    <definedName name="solver_rel18" localSheetId="0" hidden="1">3</definedName>
    <definedName name="solver_rel180" localSheetId="0" hidden="1">3</definedName>
    <definedName name="solver_rel181" localSheetId="0" hidden="1">3</definedName>
    <definedName name="solver_rel182" localSheetId="0" hidden="1">3</definedName>
    <definedName name="solver_rel183" localSheetId="0" hidden="1">3</definedName>
    <definedName name="solver_rel184" localSheetId="0" hidden="1">3</definedName>
    <definedName name="solver_rel185" localSheetId="0" hidden="1">3</definedName>
    <definedName name="solver_rel186" localSheetId="0" hidden="1">3</definedName>
    <definedName name="solver_rel187" localSheetId="0" hidden="1">3</definedName>
    <definedName name="solver_rel188" localSheetId="0" hidden="1">3</definedName>
    <definedName name="solver_rel189" localSheetId="0" hidden="1">3</definedName>
    <definedName name="solver_rel19" localSheetId="0" hidden="1">3</definedName>
    <definedName name="solver_rel190" localSheetId="0" hidden="1">3</definedName>
    <definedName name="solver_rel191" localSheetId="0" hidden="1">3</definedName>
    <definedName name="solver_rel192" localSheetId="0" hidden="1">3</definedName>
    <definedName name="solver_rel193" localSheetId="0" hidden="1">3</definedName>
    <definedName name="solver_rel194" localSheetId="0" hidden="1">3</definedName>
    <definedName name="solver_rel195" localSheetId="0" hidden="1">3</definedName>
    <definedName name="solver_rel196" localSheetId="0" hidden="1">3</definedName>
    <definedName name="solver_rel197" localSheetId="0" hidden="1">3</definedName>
    <definedName name="solver_rel198" localSheetId="0" hidden="1">3</definedName>
    <definedName name="solver_rel199" localSheetId="0" hidden="1">3</definedName>
    <definedName name="solver_rel2" localSheetId="1" hidden="1">1</definedName>
    <definedName name="solver_rel2" localSheetId="2" hidden="1">3</definedName>
    <definedName name="solver_rel2" localSheetId="0" hidden="1">1</definedName>
    <definedName name="solver_rel20" localSheetId="0" hidden="1">3</definedName>
    <definedName name="solver_rel200" localSheetId="0" hidden="1">3</definedName>
    <definedName name="solver_rel201" localSheetId="0" hidden="1">3</definedName>
    <definedName name="solver_rel202" localSheetId="0" hidden="1">3</definedName>
    <definedName name="solver_rel203" localSheetId="0" hidden="1">3</definedName>
    <definedName name="solver_rel204" localSheetId="0" hidden="1">3</definedName>
    <definedName name="solver_rel205" localSheetId="0" hidden="1">3</definedName>
    <definedName name="solver_rel206" localSheetId="0" hidden="1">3</definedName>
    <definedName name="solver_rel207" localSheetId="0" hidden="1">3</definedName>
    <definedName name="solver_rel208" localSheetId="0" hidden="1">3</definedName>
    <definedName name="solver_rel209" localSheetId="0" hidden="1">3</definedName>
    <definedName name="solver_rel21" localSheetId="0" hidden="1">3</definedName>
    <definedName name="solver_rel210" localSheetId="0" hidden="1">3</definedName>
    <definedName name="solver_rel211" localSheetId="0" hidden="1">3</definedName>
    <definedName name="solver_rel212" localSheetId="0" hidden="1">3</definedName>
    <definedName name="solver_rel213" localSheetId="0" hidden="1">3</definedName>
    <definedName name="solver_rel214" localSheetId="0" hidden="1">3</definedName>
    <definedName name="solver_rel215" localSheetId="0" hidden="1">3</definedName>
    <definedName name="solver_rel216" localSheetId="0" hidden="1">3</definedName>
    <definedName name="solver_rel217" localSheetId="0" hidden="1">3</definedName>
    <definedName name="solver_rel218" localSheetId="0" hidden="1">3</definedName>
    <definedName name="solver_rel219" localSheetId="0" hidden="1">3</definedName>
    <definedName name="solver_rel22" localSheetId="0" hidden="1">3</definedName>
    <definedName name="solver_rel220" localSheetId="0" hidden="1">3</definedName>
    <definedName name="solver_rel221" localSheetId="0" hidden="1">3</definedName>
    <definedName name="solver_rel222" localSheetId="0" hidden="1">3</definedName>
    <definedName name="solver_rel223" localSheetId="0" hidden="1">3</definedName>
    <definedName name="solver_rel224" localSheetId="0" hidden="1">3</definedName>
    <definedName name="solver_rel225" localSheetId="0" hidden="1">3</definedName>
    <definedName name="solver_rel226" localSheetId="0" hidden="1">3</definedName>
    <definedName name="solver_rel227" localSheetId="0" hidden="1">3</definedName>
    <definedName name="solver_rel228" localSheetId="0" hidden="1">3</definedName>
    <definedName name="solver_rel229" localSheetId="0" hidden="1">3</definedName>
    <definedName name="solver_rel23" localSheetId="0" hidden="1">3</definedName>
    <definedName name="solver_rel230" localSheetId="0" hidden="1">3</definedName>
    <definedName name="solver_rel231" localSheetId="0" hidden="1">3</definedName>
    <definedName name="solver_rel232" localSheetId="0" hidden="1">3</definedName>
    <definedName name="solver_rel233" localSheetId="0" hidden="1">3</definedName>
    <definedName name="solver_rel234" localSheetId="0" hidden="1">3</definedName>
    <definedName name="solver_rel235" localSheetId="0" hidden="1">3</definedName>
    <definedName name="solver_rel236" localSheetId="0" hidden="1">3</definedName>
    <definedName name="solver_rel237" localSheetId="0" hidden="1">3</definedName>
    <definedName name="solver_rel238" localSheetId="0" hidden="1">3</definedName>
    <definedName name="solver_rel239" localSheetId="0" hidden="1">3</definedName>
    <definedName name="solver_rel24" localSheetId="0" hidden="1">3</definedName>
    <definedName name="solver_rel240" localSheetId="0" hidden="1">3</definedName>
    <definedName name="solver_rel241" localSheetId="0" hidden="1">3</definedName>
    <definedName name="solver_rel242" localSheetId="0" hidden="1">3</definedName>
    <definedName name="solver_rel243" localSheetId="0" hidden="1">3</definedName>
    <definedName name="solver_rel244" localSheetId="0" hidden="1">3</definedName>
    <definedName name="solver_rel245" localSheetId="0" hidden="1">3</definedName>
    <definedName name="solver_rel246" localSheetId="0" hidden="1">3</definedName>
    <definedName name="solver_rel247" localSheetId="0" hidden="1">3</definedName>
    <definedName name="solver_rel248" localSheetId="0" hidden="1">3</definedName>
    <definedName name="solver_rel249" localSheetId="0" hidden="1">3</definedName>
    <definedName name="solver_rel25" localSheetId="0" hidden="1">3</definedName>
    <definedName name="solver_rel250" localSheetId="0" hidden="1">3</definedName>
    <definedName name="solver_rel251" localSheetId="0" hidden="1">3</definedName>
    <definedName name="solver_rel252" localSheetId="0" hidden="1">3</definedName>
    <definedName name="solver_rel253" localSheetId="0" hidden="1">3</definedName>
    <definedName name="solver_rel254" localSheetId="0" hidden="1">3</definedName>
    <definedName name="solver_rel255" localSheetId="0" hidden="1">3</definedName>
    <definedName name="solver_rel256" localSheetId="0" hidden="1">3</definedName>
    <definedName name="solver_rel257" localSheetId="0" hidden="1">3</definedName>
    <definedName name="solver_rel258" localSheetId="0" hidden="1">3</definedName>
    <definedName name="solver_rel259" localSheetId="0" hidden="1">3</definedName>
    <definedName name="solver_rel26" localSheetId="0" hidden="1">3</definedName>
    <definedName name="solver_rel260" localSheetId="0" hidden="1">3</definedName>
    <definedName name="solver_rel261" localSheetId="0" hidden="1">3</definedName>
    <definedName name="solver_rel262" localSheetId="0" hidden="1">3</definedName>
    <definedName name="solver_rel263" localSheetId="0" hidden="1">3</definedName>
    <definedName name="solver_rel264" localSheetId="0" hidden="1">3</definedName>
    <definedName name="solver_rel265" localSheetId="0" hidden="1">3</definedName>
    <definedName name="solver_rel266" localSheetId="0" hidden="1">3</definedName>
    <definedName name="solver_rel267" localSheetId="0" hidden="1">3</definedName>
    <definedName name="solver_rel268" localSheetId="0" hidden="1">3</definedName>
    <definedName name="solver_rel269" localSheetId="0" hidden="1">3</definedName>
    <definedName name="solver_rel27" localSheetId="0" hidden="1">3</definedName>
    <definedName name="solver_rel270" localSheetId="0" hidden="1">3</definedName>
    <definedName name="solver_rel271" localSheetId="0" hidden="1">3</definedName>
    <definedName name="solver_rel272" localSheetId="0" hidden="1">3</definedName>
    <definedName name="solver_rel273" localSheetId="0" hidden="1">3</definedName>
    <definedName name="solver_rel274" localSheetId="0" hidden="1">3</definedName>
    <definedName name="solver_rel275" localSheetId="0" hidden="1">3</definedName>
    <definedName name="solver_rel276" localSheetId="0" hidden="1">3</definedName>
    <definedName name="solver_rel277" localSheetId="0" hidden="1">3</definedName>
    <definedName name="solver_rel278" localSheetId="0" hidden="1">3</definedName>
    <definedName name="solver_rel279" localSheetId="0" hidden="1">3</definedName>
    <definedName name="solver_rel28" localSheetId="0" hidden="1">3</definedName>
    <definedName name="solver_rel280" localSheetId="0" hidden="1">3</definedName>
    <definedName name="solver_rel281" localSheetId="0" hidden="1">3</definedName>
    <definedName name="solver_rel282" localSheetId="0" hidden="1">3</definedName>
    <definedName name="solver_rel283" localSheetId="0" hidden="1">3</definedName>
    <definedName name="solver_rel284" localSheetId="0" hidden="1">3</definedName>
    <definedName name="solver_rel285" localSheetId="0" hidden="1">3</definedName>
    <definedName name="solver_rel286" localSheetId="0" hidden="1">3</definedName>
    <definedName name="solver_rel287" localSheetId="0" hidden="1">3</definedName>
    <definedName name="solver_rel288" localSheetId="0" hidden="1">3</definedName>
    <definedName name="solver_rel289" localSheetId="0" hidden="1">3</definedName>
    <definedName name="solver_rel29" localSheetId="0" hidden="1">3</definedName>
    <definedName name="solver_rel290" localSheetId="0" hidden="1">3</definedName>
    <definedName name="solver_rel291" localSheetId="0" hidden="1">3</definedName>
    <definedName name="solver_rel292" localSheetId="0" hidden="1">3</definedName>
    <definedName name="solver_rel293" localSheetId="0" hidden="1">3</definedName>
    <definedName name="solver_rel294" localSheetId="0" hidden="1">3</definedName>
    <definedName name="solver_rel295" localSheetId="0" hidden="1">3</definedName>
    <definedName name="solver_rel296" localSheetId="0" hidden="1">3</definedName>
    <definedName name="solver_rel297" localSheetId="0" hidden="1">3</definedName>
    <definedName name="solver_rel298" localSheetId="0" hidden="1">3</definedName>
    <definedName name="solver_rel299" localSheetId="0" hidden="1">3</definedName>
    <definedName name="solver_rel3" localSheetId="1" hidden="1">3</definedName>
    <definedName name="solver_rel3" localSheetId="2" hidden="1">3</definedName>
    <definedName name="solver_rel3" localSheetId="0" hidden="1">3</definedName>
    <definedName name="solver_rel30" localSheetId="0" hidden="1">3</definedName>
    <definedName name="solver_rel300" localSheetId="0" hidden="1">3</definedName>
    <definedName name="solver_rel301" localSheetId="0" hidden="1">3</definedName>
    <definedName name="solver_rel302" localSheetId="0" hidden="1">3</definedName>
    <definedName name="solver_rel303" localSheetId="0" hidden="1">3</definedName>
    <definedName name="solver_rel304" localSheetId="0" hidden="1">3</definedName>
    <definedName name="solver_rel305" localSheetId="0" hidden="1">3</definedName>
    <definedName name="solver_rel306" localSheetId="0" hidden="1">3</definedName>
    <definedName name="solver_rel307" localSheetId="0" hidden="1">3</definedName>
    <definedName name="solver_rel308" localSheetId="0" hidden="1">3</definedName>
    <definedName name="solver_rel309" localSheetId="0" hidden="1">3</definedName>
    <definedName name="solver_rel31" localSheetId="0" hidden="1">3</definedName>
    <definedName name="solver_rel310" localSheetId="0" hidden="1">3</definedName>
    <definedName name="solver_rel311" localSheetId="0" hidden="1">3</definedName>
    <definedName name="solver_rel312" localSheetId="0" hidden="1">3</definedName>
    <definedName name="solver_rel313" localSheetId="0" hidden="1">3</definedName>
    <definedName name="solver_rel314" localSheetId="0" hidden="1">3</definedName>
    <definedName name="solver_rel315" localSheetId="0" hidden="1">3</definedName>
    <definedName name="solver_rel316" localSheetId="0" hidden="1">3</definedName>
    <definedName name="solver_rel317" localSheetId="0" hidden="1">3</definedName>
    <definedName name="solver_rel318" localSheetId="0" hidden="1">3</definedName>
    <definedName name="solver_rel319" localSheetId="0" hidden="1">3</definedName>
    <definedName name="solver_rel32" localSheetId="0" hidden="1">3</definedName>
    <definedName name="solver_rel320" localSheetId="0" hidden="1">3</definedName>
    <definedName name="solver_rel321" localSheetId="0" hidden="1">3</definedName>
    <definedName name="solver_rel322" localSheetId="0" hidden="1">3</definedName>
    <definedName name="solver_rel323" localSheetId="0" hidden="1">3</definedName>
    <definedName name="solver_rel324" localSheetId="0" hidden="1">3</definedName>
    <definedName name="solver_rel325" localSheetId="0" hidden="1">3</definedName>
    <definedName name="solver_rel326" localSheetId="0" hidden="1">3</definedName>
    <definedName name="solver_rel327" localSheetId="0" hidden="1">3</definedName>
    <definedName name="solver_rel328" localSheetId="0" hidden="1">3</definedName>
    <definedName name="solver_rel329" localSheetId="0" hidden="1">3</definedName>
    <definedName name="solver_rel33" localSheetId="0" hidden="1">3</definedName>
    <definedName name="solver_rel330" localSheetId="0" hidden="1">3</definedName>
    <definedName name="solver_rel331" localSheetId="0" hidden="1">3</definedName>
    <definedName name="solver_rel332" localSheetId="0" hidden="1">3</definedName>
    <definedName name="solver_rel333" localSheetId="0" hidden="1">3</definedName>
    <definedName name="solver_rel334" localSheetId="0" hidden="1">3</definedName>
    <definedName name="solver_rel335" localSheetId="0" hidden="1">3</definedName>
    <definedName name="solver_rel336" localSheetId="0" hidden="1">3</definedName>
    <definedName name="solver_rel337" localSheetId="0" hidden="1">3</definedName>
    <definedName name="solver_rel338" localSheetId="0" hidden="1">3</definedName>
    <definedName name="solver_rel339" localSheetId="0" hidden="1">3</definedName>
    <definedName name="solver_rel34" localSheetId="0" hidden="1">3</definedName>
    <definedName name="solver_rel340" localSheetId="0" hidden="1">3</definedName>
    <definedName name="solver_rel341" localSheetId="0" hidden="1">3</definedName>
    <definedName name="solver_rel342" localSheetId="0" hidden="1">3</definedName>
    <definedName name="solver_rel343" localSheetId="0" hidden="1">3</definedName>
    <definedName name="solver_rel344" localSheetId="0" hidden="1">3</definedName>
    <definedName name="solver_rel345" localSheetId="0" hidden="1">3</definedName>
    <definedName name="solver_rel346" localSheetId="0" hidden="1">3</definedName>
    <definedName name="solver_rel347" localSheetId="0" hidden="1">3</definedName>
    <definedName name="solver_rel348" localSheetId="0" hidden="1">3</definedName>
    <definedName name="solver_rel349" localSheetId="0" hidden="1">3</definedName>
    <definedName name="solver_rel35" localSheetId="0" hidden="1">3</definedName>
    <definedName name="solver_rel350" localSheetId="0" hidden="1">3</definedName>
    <definedName name="solver_rel351" localSheetId="0" hidden="1">3</definedName>
    <definedName name="solver_rel352" localSheetId="0" hidden="1">3</definedName>
    <definedName name="solver_rel353" localSheetId="0" hidden="1">3</definedName>
    <definedName name="solver_rel354" localSheetId="0" hidden="1">3</definedName>
    <definedName name="solver_rel355" localSheetId="0" hidden="1">3</definedName>
    <definedName name="solver_rel356" localSheetId="0" hidden="1">3</definedName>
    <definedName name="solver_rel357" localSheetId="0" hidden="1">3</definedName>
    <definedName name="solver_rel358" localSheetId="0" hidden="1">3</definedName>
    <definedName name="solver_rel359" localSheetId="0" hidden="1">3</definedName>
    <definedName name="solver_rel36" localSheetId="0" hidden="1">3</definedName>
    <definedName name="solver_rel360" localSheetId="0" hidden="1">3</definedName>
    <definedName name="solver_rel361" localSheetId="0" hidden="1">3</definedName>
    <definedName name="solver_rel362" localSheetId="0" hidden="1">3</definedName>
    <definedName name="solver_rel363" localSheetId="0" hidden="1">3</definedName>
    <definedName name="solver_rel364" localSheetId="0" hidden="1">3</definedName>
    <definedName name="solver_rel365" localSheetId="0" hidden="1">3</definedName>
    <definedName name="solver_rel366" localSheetId="0" hidden="1">3</definedName>
    <definedName name="solver_rel367" localSheetId="0" hidden="1">3</definedName>
    <definedName name="solver_rel37" localSheetId="0" hidden="1">3</definedName>
    <definedName name="solver_rel38" localSheetId="0" hidden="1">3</definedName>
    <definedName name="solver_rel39" localSheetId="0" hidden="1">3</definedName>
    <definedName name="solver_rel4" localSheetId="1" hidden="1">1</definedName>
    <definedName name="solver_rel4" localSheetId="0" hidden="1">1</definedName>
    <definedName name="solver_rel40" localSheetId="0" hidden="1">3</definedName>
    <definedName name="solver_rel41" localSheetId="0" hidden="1">3</definedName>
    <definedName name="solver_rel42" localSheetId="0" hidden="1">3</definedName>
    <definedName name="solver_rel43" localSheetId="0" hidden="1">3</definedName>
    <definedName name="solver_rel44" localSheetId="0" hidden="1">3</definedName>
    <definedName name="solver_rel45" localSheetId="0" hidden="1">3</definedName>
    <definedName name="solver_rel46" localSheetId="0" hidden="1">3</definedName>
    <definedName name="solver_rel47" localSheetId="0" hidden="1">3</definedName>
    <definedName name="solver_rel48" localSheetId="0" hidden="1">3</definedName>
    <definedName name="solver_rel49" localSheetId="0" hidden="1">3</definedName>
    <definedName name="solver_rel5" localSheetId="1" hidden="1">3</definedName>
    <definedName name="solver_rel5" localSheetId="0" hidden="1">3</definedName>
    <definedName name="solver_rel50" localSheetId="0" hidden="1">3</definedName>
    <definedName name="solver_rel51" localSheetId="0" hidden="1">3</definedName>
    <definedName name="solver_rel52" localSheetId="0" hidden="1">3</definedName>
    <definedName name="solver_rel53" localSheetId="0" hidden="1">3</definedName>
    <definedName name="solver_rel54" localSheetId="0" hidden="1">3</definedName>
    <definedName name="solver_rel55" localSheetId="0" hidden="1">3</definedName>
    <definedName name="solver_rel56" localSheetId="0" hidden="1">3</definedName>
    <definedName name="solver_rel57" localSheetId="0" hidden="1">3</definedName>
    <definedName name="solver_rel58" localSheetId="0" hidden="1">3</definedName>
    <definedName name="solver_rel59" localSheetId="0" hidden="1">3</definedName>
    <definedName name="solver_rel6" localSheetId="1" hidden="1">1</definedName>
    <definedName name="solver_rel6" localSheetId="0" hidden="1">1</definedName>
    <definedName name="solver_rel60" localSheetId="0" hidden="1">3</definedName>
    <definedName name="solver_rel61" localSheetId="0" hidden="1">3</definedName>
    <definedName name="solver_rel62" localSheetId="0" hidden="1">3</definedName>
    <definedName name="solver_rel63" localSheetId="0" hidden="1">3</definedName>
    <definedName name="solver_rel64" localSheetId="0" hidden="1">3</definedName>
    <definedName name="solver_rel65" localSheetId="0" hidden="1">3</definedName>
    <definedName name="solver_rel66" localSheetId="0" hidden="1">3</definedName>
    <definedName name="solver_rel67" localSheetId="0" hidden="1">3</definedName>
    <definedName name="solver_rel68" localSheetId="0" hidden="1">3</definedName>
    <definedName name="solver_rel69" localSheetId="0" hidden="1">3</definedName>
    <definedName name="solver_rel7" localSheetId="0" hidden="1">3</definedName>
    <definedName name="solver_rel70" localSheetId="0" hidden="1">3</definedName>
    <definedName name="solver_rel71" localSheetId="0" hidden="1">3</definedName>
    <definedName name="solver_rel72" localSheetId="0" hidden="1">3</definedName>
    <definedName name="solver_rel73" localSheetId="0" hidden="1">3</definedName>
    <definedName name="solver_rel74" localSheetId="0" hidden="1">3</definedName>
    <definedName name="solver_rel75" localSheetId="0" hidden="1">3</definedName>
    <definedName name="solver_rel76" localSheetId="0" hidden="1">3</definedName>
    <definedName name="solver_rel77" localSheetId="0" hidden="1">3</definedName>
    <definedName name="solver_rel78" localSheetId="0" hidden="1">3</definedName>
    <definedName name="solver_rel79" localSheetId="0" hidden="1">3</definedName>
    <definedName name="solver_rel8" localSheetId="0" hidden="1">3</definedName>
    <definedName name="solver_rel80" localSheetId="0" hidden="1">3</definedName>
    <definedName name="solver_rel81" localSheetId="0" hidden="1">3</definedName>
    <definedName name="solver_rel82" localSheetId="0" hidden="1">3</definedName>
    <definedName name="solver_rel83" localSheetId="0" hidden="1">3</definedName>
    <definedName name="solver_rel84" localSheetId="0" hidden="1">3</definedName>
    <definedName name="solver_rel85" localSheetId="0" hidden="1">3</definedName>
    <definedName name="solver_rel86" localSheetId="0" hidden="1">3</definedName>
    <definedName name="solver_rel87" localSheetId="0" hidden="1">3</definedName>
    <definedName name="solver_rel88" localSheetId="0" hidden="1">3</definedName>
    <definedName name="solver_rel89" localSheetId="0" hidden="1">3</definedName>
    <definedName name="solver_rel9" localSheetId="0" hidden="1">3</definedName>
    <definedName name="solver_rel90" localSheetId="0" hidden="1">3</definedName>
    <definedName name="solver_rel91" localSheetId="0" hidden="1">3</definedName>
    <definedName name="solver_rel92" localSheetId="0" hidden="1">3</definedName>
    <definedName name="solver_rel93" localSheetId="0" hidden="1">3</definedName>
    <definedName name="solver_rel94" localSheetId="0" hidden="1">3</definedName>
    <definedName name="solver_rel95" localSheetId="0" hidden="1">3</definedName>
    <definedName name="solver_rel96" localSheetId="0" hidden="1">3</definedName>
    <definedName name="solver_rel97" localSheetId="0" hidden="1">3</definedName>
    <definedName name="solver_rel98" localSheetId="0" hidden="1">3</definedName>
    <definedName name="solver_rel99" localSheetId="0" hidden="1">3</definedName>
    <definedName name="solver_rhs1" localSheetId="1" hidden="1">0.1</definedName>
    <definedName name="solver_rhs1" localSheetId="2" hidden="1">0.1</definedName>
    <definedName name="solver_rhs1" localSheetId="0" hidden="1">0.01</definedName>
    <definedName name="solver_rhs10" localSheetId="0" hidden="1">0</definedName>
    <definedName name="solver_rhs100" localSheetId="0" hidden="1">0</definedName>
    <definedName name="solver_rhs101" localSheetId="0" hidden="1">0.1</definedName>
    <definedName name="solver_rhs102" localSheetId="0" hidden="1">0.1</definedName>
    <definedName name="solver_rhs103" localSheetId="0" hidden="1">0</definedName>
    <definedName name="solver_rhs104" localSheetId="0" hidden="1">0</definedName>
    <definedName name="solver_rhs105" localSheetId="0" hidden="1">1</definedName>
    <definedName name="solver_rhs106" localSheetId="0" hidden="1">1</definedName>
    <definedName name="solver_rhs107" localSheetId="0" hidden="1">0</definedName>
    <definedName name="solver_rhs108" localSheetId="0" hidden="1">0</definedName>
    <definedName name="solver_rhs109" localSheetId="0" hidden="1">0.1</definedName>
    <definedName name="solver_rhs11" localSheetId="0" hidden="1">0</definedName>
    <definedName name="solver_rhs110" localSheetId="0" hidden="1">0.1</definedName>
    <definedName name="solver_rhs111" localSheetId="0" hidden="1">0</definedName>
    <definedName name="solver_rhs112" localSheetId="0" hidden="1">0</definedName>
    <definedName name="solver_rhs113" localSheetId="0" hidden="1">0.1</definedName>
    <definedName name="solver_rhs114" localSheetId="0" hidden="1">1</definedName>
    <definedName name="solver_rhs115" localSheetId="0" hidden="1">0</definedName>
    <definedName name="solver_rhs116" localSheetId="0" hidden="1">0</definedName>
    <definedName name="solver_rhs117" localSheetId="0" hidden="1">1</definedName>
    <definedName name="solver_rhs118" localSheetId="0" hidden="1">1</definedName>
    <definedName name="solver_rhs119" localSheetId="0" hidden="1">0</definedName>
    <definedName name="solver_rhs12" localSheetId="0" hidden="1">0.1</definedName>
    <definedName name="solver_rhs120" localSheetId="0" hidden="1">0</definedName>
    <definedName name="solver_rhs121" localSheetId="0" hidden="1">0.1</definedName>
    <definedName name="solver_rhs122" localSheetId="0" hidden="1">1</definedName>
    <definedName name="solver_rhs123" localSheetId="0" hidden="1">0</definedName>
    <definedName name="solver_rhs124" localSheetId="0" hidden="1">0</definedName>
    <definedName name="solver_rhs125" localSheetId="0" hidden="1">0.1</definedName>
    <definedName name="solver_rhs126" localSheetId="0" hidden="1">1</definedName>
    <definedName name="solver_rhs127" localSheetId="0" hidden="1">0</definedName>
    <definedName name="solver_rhs128" localSheetId="0" hidden="1">0</definedName>
    <definedName name="solver_rhs129" localSheetId="0" hidden="1">1</definedName>
    <definedName name="solver_rhs13" localSheetId="0" hidden="1">0</definedName>
    <definedName name="solver_rhs130" localSheetId="0" hidden="1">1</definedName>
    <definedName name="solver_rhs131" localSheetId="0" hidden="1">0</definedName>
    <definedName name="solver_rhs132" localSheetId="0" hidden="1">0</definedName>
    <definedName name="solver_rhs133" localSheetId="0" hidden="1">1</definedName>
    <definedName name="solver_rhs134" localSheetId="0" hidden="1">1</definedName>
    <definedName name="solver_rhs135" localSheetId="0" hidden="1">0</definedName>
    <definedName name="solver_rhs136" localSheetId="0" hidden="1">0</definedName>
    <definedName name="solver_rhs137" localSheetId="0" hidden="1">0.1</definedName>
    <definedName name="solver_rhs138" localSheetId="0" hidden="1">1</definedName>
    <definedName name="solver_rhs139" localSheetId="0" hidden="1">0</definedName>
    <definedName name="solver_rhs14" localSheetId="0" hidden="1">0</definedName>
    <definedName name="solver_rhs140" localSheetId="0" hidden="1">0</definedName>
    <definedName name="solver_rhs141" localSheetId="0" hidden="1">0.1</definedName>
    <definedName name="solver_rhs142" localSheetId="0" hidden="1">1</definedName>
    <definedName name="solver_rhs143" localSheetId="0" hidden="1">0</definedName>
    <definedName name="solver_rhs144" localSheetId="0" hidden="1">0</definedName>
    <definedName name="solver_rhs145" localSheetId="0" hidden="1">1</definedName>
    <definedName name="solver_rhs146" localSheetId="0" hidden="1">1</definedName>
    <definedName name="solver_rhs147" localSheetId="0" hidden="1">0.1</definedName>
    <definedName name="solver_rhs148" localSheetId="0" hidden="1">0</definedName>
    <definedName name="solver_rhs149" localSheetId="0" hidden="1">0</definedName>
    <definedName name="solver_rhs15" localSheetId="0" hidden="1">0.1</definedName>
    <definedName name="solver_rhs150" localSheetId="0" hidden="1">1</definedName>
    <definedName name="solver_rhs151" localSheetId="0" hidden="1">1</definedName>
    <definedName name="solver_rhs152" localSheetId="0" hidden="1">1</definedName>
    <definedName name="solver_rhs153" localSheetId="0" hidden="1">0</definedName>
    <definedName name="solver_rhs154" localSheetId="0" hidden="1">0</definedName>
    <definedName name="solver_rhs155" localSheetId="0" hidden="1">1</definedName>
    <definedName name="solver_rhs156" localSheetId="0" hidden="1">1</definedName>
    <definedName name="solver_rhs157" localSheetId="0" hidden="1">1</definedName>
    <definedName name="solver_rhs158" localSheetId="0" hidden="1">0</definedName>
    <definedName name="solver_rhs159" localSheetId="0" hidden="1">0</definedName>
    <definedName name="solver_rhs16" localSheetId="0" hidden="1">0</definedName>
    <definedName name="solver_rhs160" localSheetId="0" hidden="1">0.1</definedName>
    <definedName name="solver_rhs161" localSheetId="0" hidden="1">1</definedName>
    <definedName name="solver_rhs162" localSheetId="0" hidden="1">0.1</definedName>
    <definedName name="solver_rhs163" localSheetId="0" hidden="1">0</definedName>
    <definedName name="solver_rhs164" localSheetId="0" hidden="1">0</definedName>
    <definedName name="solver_rhs165" localSheetId="0" hidden="1">0.1</definedName>
    <definedName name="solver_rhs166" localSheetId="0" hidden="1">1</definedName>
    <definedName name="solver_rhs167" localSheetId="0" hidden="1">0.1</definedName>
    <definedName name="solver_rhs168" localSheetId="0" hidden="1">0</definedName>
    <definedName name="solver_rhs169" localSheetId="0" hidden="1">0</definedName>
    <definedName name="solver_rhs17" localSheetId="0" hidden="1">0</definedName>
    <definedName name="solver_rhs170" localSheetId="0" hidden="1">0.1</definedName>
    <definedName name="solver_rhs171" localSheetId="0" hidden="1">1</definedName>
    <definedName name="solver_rhs172" localSheetId="0" hidden="1">0.1</definedName>
    <definedName name="solver_rhs173" localSheetId="0" hidden="1">0</definedName>
    <definedName name="solver_rhs174" localSheetId="0" hidden="1">0</definedName>
    <definedName name="solver_rhs175" localSheetId="0" hidden="1">1</definedName>
    <definedName name="solver_rhs176" localSheetId="0" hidden="1">1</definedName>
    <definedName name="solver_rhs177" localSheetId="0" hidden="1">1</definedName>
    <definedName name="solver_rhs178" localSheetId="0" hidden="1">0</definedName>
    <definedName name="solver_rhs179" localSheetId="0" hidden="1">0</definedName>
    <definedName name="solver_rhs18" localSheetId="0" hidden="1">0.1</definedName>
    <definedName name="solver_rhs180" localSheetId="0" hidden="1">1</definedName>
    <definedName name="solver_rhs181" localSheetId="0" hidden="1">1</definedName>
    <definedName name="solver_rhs182" localSheetId="0" hidden="1">0.1</definedName>
    <definedName name="solver_rhs183" localSheetId="0" hidden="1">0</definedName>
    <definedName name="solver_rhs184" localSheetId="0" hidden="1">0</definedName>
    <definedName name="solver_rhs185" localSheetId="0" hidden="1">0.1</definedName>
    <definedName name="solver_rhs186" localSheetId="0" hidden="1">1</definedName>
    <definedName name="solver_rhs187" localSheetId="0" hidden="1">0.1</definedName>
    <definedName name="solver_rhs188" localSheetId="0" hidden="1">0</definedName>
    <definedName name="solver_rhs189" localSheetId="0" hidden="1">0</definedName>
    <definedName name="solver_rhs19" localSheetId="0" hidden="1">0</definedName>
    <definedName name="solver_rhs190" localSheetId="0" hidden="1">0.1</definedName>
    <definedName name="solver_rhs191" localSheetId="0" hidden="1">1</definedName>
    <definedName name="solver_rhs192" localSheetId="0" hidden="1">1</definedName>
    <definedName name="solver_rhs193" localSheetId="0" hidden="1">0</definedName>
    <definedName name="solver_rhs194" localSheetId="0" hidden="1">0</definedName>
    <definedName name="solver_rhs195" localSheetId="0" hidden="1">0.1</definedName>
    <definedName name="solver_rhs196" localSheetId="0" hidden="1">1</definedName>
    <definedName name="solver_rhs197" localSheetId="0" hidden="1">1</definedName>
    <definedName name="solver_rhs198" localSheetId="0" hidden="1">0</definedName>
    <definedName name="solver_rhs199" localSheetId="0" hidden="1">0</definedName>
    <definedName name="solver_rhs2" localSheetId="1" hidden="1">20000</definedName>
    <definedName name="solver_rhs2" localSheetId="2" hidden="1">0.1</definedName>
    <definedName name="solver_rhs2" localSheetId="0" hidden="1">20000</definedName>
    <definedName name="solver_rhs20" localSheetId="0" hidden="1">0</definedName>
    <definedName name="solver_rhs200" localSheetId="0" hidden="1">1</definedName>
    <definedName name="solver_rhs201" localSheetId="0" hidden="1">1</definedName>
    <definedName name="solver_rhs202" localSheetId="0" hidden="1">0.1</definedName>
    <definedName name="solver_rhs203" localSheetId="0" hidden="1">0</definedName>
    <definedName name="solver_rhs204" localSheetId="0" hidden="1">0</definedName>
    <definedName name="solver_rhs205" localSheetId="0" hidden="1">0.1</definedName>
    <definedName name="solver_rhs206" localSheetId="0" hidden="1">1</definedName>
    <definedName name="solver_rhs207" localSheetId="0" hidden="1">0.1</definedName>
    <definedName name="solver_rhs208" localSheetId="0" hidden="1">0.1</definedName>
    <definedName name="solver_rhs209" localSheetId="0" hidden="1">0.1</definedName>
    <definedName name="solver_rhs21" localSheetId="0" hidden="1">0.1</definedName>
    <definedName name="solver_rhs210" localSheetId="0" hidden="1">1</definedName>
    <definedName name="solver_rhs211" localSheetId="0" hidden="1">1</definedName>
    <definedName name="solver_rhs212" localSheetId="0" hidden="1">1</definedName>
    <definedName name="solver_rhs213" localSheetId="0" hidden="1">0.1</definedName>
    <definedName name="solver_rhs214" localSheetId="0" hidden="1">0.1</definedName>
    <definedName name="solver_rhs215" localSheetId="0" hidden="1">1</definedName>
    <definedName name="solver_rhs216" localSheetId="0" hidden="1">1</definedName>
    <definedName name="solver_rhs217" localSheetId="0" hidden="1">1</definedName>
    <definedName name="solver_rhs218" localSheetId="0" hidden="1">0.1</definedName>
    <definedName name="solver_rhs219" localSheetId="0" hidden="1">0.1</definedName>
    <definedName name="solver_rhs22" localSheetId="0" hidden="1">0.1</definedName>
    <definedName name="solver_rhs220" localSheetId="0" hidden="1">1</definedName>
    <definedName name="solver_rhs221" localSheetId="0" hidden="1">1</definedName>
    <definedName name="solver_rhs222" localSheetId="0" hidden="1">0.1</definedName>
    <definedName name="solver_rhs223" localSheetId="0" hidden="1">0.1</definedName>
    <definedName name="solver_rhs224" localSheetId="0" hidden="1">0.1</definedName>
    <definedName name="solver_rhs225" localSheetId="0" hidden="1">1</definedName>
    <definedName name="solver_rhs226" localSheetId="0" hidden="1">1</definedName>
    <definedName name="solver_rhs227" localSheetId="0" hidden="1">1</definedName>
    <definedName name="solver_rhs228" localSheetId="0" hidden="1">0.1</definedName>
    <definedName name="solver_rhs229" localSheetId="0" hidden="1">0.1</definedName>
    <definedName name="solver_rhs23" localSheetId="0" hidden="1">0</definedName>
    <definedName name="solver_rhs230" localSheetId="0" hidden="1">1</definedName>
    <definedName name="solver_rhs231" localSheetId="0" hidden="1">1</definedName>
    <definedName name="solver_rhs232" localSheetId="0" hidden="1">1</definedName>
    <definedName name="solver_rhs233" localSheetId="0" hidden="1">0.1</definedName>
    <definedName name="solver_rhs234" localSheetId="0" hidden="1">0.1</definedName>
    <definedName name="solver_rhs235" localSheetId="0" hidden="1">1</definedName>
    <definedName name="solver_rhs236" localSheetId="0" hidden="1">1</definedName>
    <definedName name="solver_rhs237" localSheetId="0" hidden="1">0.1</definedName>
    <definedName name="solver_rhs238" localSheetId="0" hidden="1">0.1</definedName>
    <definedName name="solver_rhs239" localSheetId="0" hidden="1">0.1</definedName>
    <definedName name="solver_rhs24" localSheetId="0" hidden="1">0</definedName>
    <definedName name="solver_rhs240" localSheetId="0" hidden="1">1</definedName>
    <definedName name="solver_rhs241" localSheetId="0" hidden="1">1</definedName>
    <definedName name="solver_rhs242" localSheetId="0" hidden="1">1</definedName>
    <definedName name="solver_rhs243" localSheetId="0" hidden="1">0.1</definedName>
    <definedName name="solver_rhs244" localSheetId="0" hidden="1">0.1</definedName>
    <definedName name="solver_rhs245" localSheetId="0" hidden="1">1</definedName>
    <definedName name="solver_rhs246" localSheetId="0" hidden="1">1</definedName>
    <definedName name="solver_rhs247" localSheetId="0" hidden="1">1</definedName>
    <definedName name="solver_rhs248" localSheetId="0" hidden="1">0.1</definedName>
    <definedName name="solver_rhs249" localSheetId="0" hidden="1">0.1</definedName>
    <definedName name="solver_rhs25" localSheetId="0" hidden="1">0.1</definedName>
    <definedName name="solver_rhs250" localSheetId="0" hidden="1">1</definedName>
    <definedName name="solver_rhs251" localSheetId="0" hidden="1">1</definedName>
    <definedName name="solver_rhs252" localSheetId="0" hidden="1">0.1</definedName>
    <definedName name="solver_rhs253" localSheetId="0" hidden="1">0.1</definedName>
    <definedName name="solver_rhs254" localSheetId="0" hidden="1">0.1</definedName>
    <definedName name="solver_rhs255" localSheetId="0" hidden="1">1</definedName>
    <definedName name="solver_rhs256" localSheetId="0" hidden="1">1</definedName>
    <definedName name="solver_rhs257" localSheetId="0" hidden="1">1</definedName>
    <definedName name="solver_rhs258" localSheetId="0" hidden="1">0.1</definedName>
    <definedName name="solver_rhs259" localSheetId="0" hidden="1">0.1</definedName>
    <definedName name="solver_rhs26" localSheetId="0" hidden="1">0.1</definedName>
    <definedName name="solver_rhs260" localSheetId="0" hidden="1">1</definedName>
    <definedName name="solver_rhs261" localSheetId="0" hidden="1">1</definedName>
    <definedName name="solver_rhs262" localSheetId="0" hidden="1">0.1</definedName>
    <definedName name="solver_rhs263" localSheetId="0" hidden="1">0.1</definedName>
    <definedName name="solver_rhs264" localSheetId="0" hidden="1">0.1</definedName>
    <definedName name="solver_rhs265" localSheetId="0" hidden="1">1</definedName>
    <definedName name="solver_rhs266" localSheetId="0" hidden="1">1</definedName>
    <definedName name="solver_rhs267" localSheetId="0" hidden="1">0.1</definedName>
    <definedName name="solver_rhs268" localSheetId="0" hidden="1">0.1</definedName>
    <definedName name="solver_rhs269" localSheetId="0" hidden="1">0.1</definedName>
    <definedName name="solver_rhs27" localSheetId="0" hidden="1">0</definedName>
    <definedName name="solver_rhs270" localSheetId="0" hidden="1">1</definedName>
    <definedName name="solver_rhs271" localSheetId="0" hidden="1">1</definedName>
    <definedName name="solver_rhs272" localSheetId="0" hidden="1">1</definedName>
    <definedName name="solver_rhs273" localSheetId="0" hidden="1">0.1</definedName>
    <definedName name="solver_rhs274" localSheetId="0" hidden="1">0.1</definedName>
    <definedName name="solver_rhs275" localSheetId="0" hidden="1">1</definedName>
    <definedName name="solver_rhs276" localSheetId="0" hidden="1">1</definedName>
    <definedName name="solver_rhs277" localSheetId="0" hidden="1">0.1</definedName>
    <definedName name="solver_rhs278" localSheetId="0" hidden="1">0.1</definedName>
    <definedName name="solver_rhs279" localSheetId="0" hidden="1">1</definedName>
    <definedName name="solver_rhs28" localSheetId="0" hidden="1">0</definedName>
    <definedName name="solver_rhs280" localSheetId="0" hidden="1">1</definedName>
    <definedName name="solver_rhs281" localSheetId="0" hidden="1">1</definedName>
    <definedName name="solver_rhs282" localSheetId="0" hidden="1">0.1</definedName>
    <definedName name="solver_rhs283" localSheetId="0" hidden="1">0.1</definedName>
    <definedName name="solver_rhs284" localSheetId="0" hidden="1">0.1</definedName>
    <definedName name="solver_rhs285" localSheetId="0" hidden="1">1</definedName>
    <definedName name="solver_rhs286" localSheetId="0" hidden="1">1</definedName>
    <definedName name="solver_rhs287" localSheetId="0" hidden="1">1</definedName>
    <definedName name="solver_rhs288" localSheetId="0" hidden="1">0.1</definedName>
    <definedName name="solver_rhs289" localSheetId="0" hidden="1">0.1</definedName>
    <definedName name="solver_rhs29" localSheetId="0" hidden="1">0.1</definedName>
    <definedName name="solver_rhs290" localSheetId="0" hidden="1">1</definedName>
    <definedName name="solver_rhs291" localSheetId="0" hidden="1">1</definedName>
    <definedName name="solver_rhs292" localSheetId="0" hidden="1">1</definedName>
    <definedName name="solver_rhs293" localSheetId="0" hidden="1">0.1</definedName>
    <definedName name="solver_rhs294" localSheetId="0" hidden="1">0.1</definedName>
    <definedName name="solver_rhs295" localSheetId="0" hidden="1">1</definedName>
    <definedName name="solver_rhs296" localSheetId="0" hidden="1">1</definedName>
    <definedName name="solver_rhs297" localSheetId="0" hidden="1">0.1</definedName>
    <definedName name="solver_rhs298" localSheetId="0" hidden="1">0.1</definedName>
    <definedName name="solver_rhs299" localSheetId="0" hidden="1">0.1</definedName>
    <definedName name="solver_rhs3" localSheetId="1" hidden="1">0.1</definedName>
    <definedName name="solver_rhs3" localSheetId="2" hidden="1">1</definedName>
    <definedName name="solver_rhs3" localSheetId="0" hidden="1">0.01</definedName>
    <definedName name="solver_rhs30" localSheetId="0" hidden="1">0.1</definedName>
    <definedName name="solver_rhs300" localSheetId="0" hidden="1">1</definedName>
    <definedName name="solver_rhs301" localSheetId="0" hidden="1">1</definedName>
    <definedName name="solver_rhs302" localSheetId="0" hidden="1">0.1</definedName>
    <definedName name="solver_rhs303" localSheetId="0" hidden="1">0.1</definedName>
    <definedName name="solver_rhs304" localSheetId="0" hidden="1">0.1</definedName>
    <definedName name="solver_rhs305" localSheetId="0" hidden="1">1</definedName>
    <definedName name="solver_rhs306" localSheetId="0" hidden="1">1</definedName>
    <definedName name="solver_rhs307" localSheetId="0" hidden="1">1</definedName>
    <definedName name="solver_rhs308" localSheetId="0" hidden="1">0.1</definedName>
    <definedName name="solver_rhs309" localSheetId="0" hidden="1">0.1</definedName>
    <definedName name="solver_rhs31" localSheetId="0" hidden="1">0</definedName>
    <definedName name="solver_rhs310" localSheetId="0" hidden="1">1</definedName>
    <definedName name="solver_rhs311" localSheetId="0" hidden="1">1</definedName>
    <definedName name="solver_rhs312" localSheetId="0" hidden="1">1</definedName>
    <definedName name="solver_rhs313" localSheetId="0" hidden="1">0.1</definedName>
    <definedName name="solver_rhs314" localSheetId="0" hidden="1">0.1</definedName>
    <definedName name="solver_rhs315" localSheetId="0" hidden="1">1</definedName>
    <definedName name="solver_rhs316" localSheetId="0" hidden="1">1</definedName>
    <definedName name="solver_rhs317" localSheetId="0" hidden="1">0.1</definedName>
    <definedName name="solver_rhs318" localSheetId="0" hidden="1">0.1</definedName>
    <definedName name="solver_rhs319" localSheetId="0" hidden="1">0.1</definedName>
    <definedName name="solver_rhs32" localSheetId="0" hidden="1">0</definedName>
    <definedName name="solver_rhs320" localSheetId="0" hidden="1">1</definedName>
    <definedName name="solver_rhs321" localSheetId="0" hidden="1">1</definedName>
    <definedName name="solver_rhs322" localSheetId="0" hidden="1">0.1</definedName>
    <definedName name="solver_rhs323" localSheetId="0" hidden="1">0.1</definedName>
    <definedName name="solver_rhs324" localSheetId="0" hidden="1">0.1</definedName>
    <definedName name="solver_rhs325" localSheetId="0" hidden="1">1</definedName>
    <definedName name="solver_rhs326" localSheetId="0" hidden="1">1</definedName>
    <definedName name="solver_rhs327" localSheetId="0" hidden="1">1</definedName>
    <definedName name="solver_rhs328" localSheetId="0" hidden="1">0.1</definedName>
    <definedName name="solver_rhs329" localSheetId="0" hidden="1">0.1</definedName>
    <definedName name="solver_rhs33" localSheetId="0" hidden="1">0.1</definedName>
    <definedName name="solver_rhs330" localSheetId="0" hidden="1">1</definedName>
    <definedName name="solver_rhs331" localSheetId="0" hidden="1">1</definedName>
    <definedName name="solver_rhs332" localSheetId="0" hidden="1">1</definedName>
    <definedName name="solver_rhs333" localSheetId="0" hidden="1">0.1</definedName>
    <definedName name="solver_rhs334" localSheetId="0" hidden="1">0.1</definedName>
    <definedName name="solver_rhs335" localSheetId="0" hidden="1">1</definedName>
    <definedName name="solver_rhs336" localSheetId="0" hidden="1">1</definedName>
    <definedName name="solver_rhs337" localSheetId="0" hidden="1">0.1</definedName>
    <definedName name="solver_rhs338" localSheetId="0" hidden="1">0.1</definedName>
    <definedName name="solver_rhs339" localSheetId="0" hidden="1">1</definedName>
    <definedName name="solver_rhs34" localSheetId="0" hidden="1">0.1</definedName>
    <definedName name="solver_rhs340" localSheetId="0" hidden="1">1</definedName>
    <definedName name="solver_rhs341" localSheetId="0" hidden="1">0.1</definedName>
    <definedName name="solver_rhs342" localSheetId="0" hidden="1">0.1</definedName>
    <definedName name="solver_rhs343" localSheetId="0" hidden="1">1</definedName>
    <definedName name="solver_rhs344" localSheetId="0" hidden="1">1</definedName>
    <definedName name="solver_rhs345" localSheetId="0" hidden="1">0.1</definedName>
    <definedName name="solver_rhs346" localSheetId="0" hidden="1">0.1</definedName>
    <definedName name="solver_rhs347" localSheetId="0" hidden="1">1</definedName>
    <definedName name="solver_rhs348" localSheetId="0" hidden="1">1</definedName>
    <definedName name="solver_rhs349" localSheetId="0" hidden="1">0.1</definedName>
    <definedName name="solver_rhs35" localSheetId="0" hidden="1">0</definedName>
    <definedName name="solver_rhs350" localSheetId="0" hidden="1">0.1</definedName>
    <definedName name="solver_rhs351" localSheetId="0" hidden="1">1</definedName>
    <definedName name="solver_rhs352" localSheetId="0" hidden="1">1</definedName>
    <definedName name="solver_rhs353" localSheetId="0" hidden="1">0.1</definedName>
    <definedName name="solver_rhs354" localSheetId="0" hidden="1">0.1</definedName>
    <definedName name="solver_rhs355" localSheetId="0" hidden="1">1</definedName>
    <definedName name="solver_rhs356" localSheetId="0" hidden="1">1</definedName>
    <definedName name="solver_rhs357" localSheetId="0" hidden="1">0.1</definedName>
    <definedName name="solver_rhs358" localSheetId="0" hidden="1">0.1</definedName>
    <definedName name="solver_rhs359" localSheetId="0" hidden="1">1</definedName>
    <definedName name="solver_rhs36" localSheetId="0" hidden="1">0</definedName>
    <definedName name="solver_rhs360" localSheetId="0" hidden="1">1</definedName>
    <definedName name="solver_rhs361" localSheetId="0" hidden="1">0.1</definedName>
    <definedName name="solver_rhs362" localSheetId="0" hidden="1">0.1</definedName>
    <definedName name="solver_rhs363" localSheetId="0" hidden="1">1</definedName>
    <definedName name="solver_rhs364" localSheetId="0" hidden="1">1</definedName>
    <definedName name="solver_rhs365" localSheetId="0" hidden="1">0.1</definedName>
    <definedName name="solver_rhs366" localSheetId="0" hidden="1">0.1</definedName>
    <definedName name="solver_rhs367" localSheetId="0" hidden="1">1</definedName>
    <definedName name="solver_rhs37" localSheetId="0" hidden="1">0.1</definedName>
    <definedName name="solver_rhs38" localSheetId="0" hidden="1">0.1</definedName>
    <definedName name="solver_rhs39" localSheetId="0" hidden="1">0</definedName>
    <definedName name="solver_rhs4" localSheetId="1" hidden="1">200000</definedName>
    <definedName name="solver_rhs4" localSheetId="0" hidden="1">200000</definedName>
    <definedName name="solver_rhs40" localSheetId="0" hidden="1">0</definedName>
    <definedName name="solver_rhs41" localSheetId="0" hidden="1">0.1</definedName>
    <definedName name="solver_rhs42" localSheetId="0" hidden="1">0.1</definedName>
    <definedName name="solver_rhs43" localSheetId="0" hidden="1">0</definedName>
    <definedName name="solver_rhs44" localSheetId="0" hidden="1">0</definedName>
    <definedName name="solver_rhs45" localSheetId="0" hidden="1">0.1</definedName>
    <definedName name="solver_rhs46" localSheetId="0" hidden="1">0.1</definedName>
    <definedName name="solver_rhs47" localSheetId="0" hidden="1">0</definedName>
    <definedName name="solver_rhs48" localSheetId="0" hidden="1">0</definedName>
    <definedName name="solver_rhs49" localSheetId="0" hidden="1">0.1</definedName>
    <definedName name="solver_rhs5" localSheetId="1" hidden="1">1</definedName>
    <definedName name="solver_rhs5" localSheetId="0" hidden="1">1</definedName>
    <definedName name="solver_rhs50" localSheetId="0" hidden="1">0.1</definedName>
    <definedName name="solver_rhs51" localSheetId="0" hidden="1">0</definedName>
    <definedName name="solver_rhs52" localSheetId="0" hidden="1">0</definedName>
    <definedName name="solver_rhs53" localSheetId="0" hidden="1">0.1</definedName>
    <definedName name="solver_rhs54" localSheetId="0" hidden="1">0.1</definedName>
    <definedName name="solver_rhs55" localSheetId="0" hidden="1">0</definedName>
    <definedName name="solver_rhs56" localSheetId="0" hidden="1">0</definedName>
    <definedName name="solver_rhs57" localSheetId="0" hidden="1">0.1</definedName>
    <definedName name="solver_rhs58" localSheetId="0" hidden="1">0.1</definedName>
    <definedName name="solver_rhs59" localSheetId="0" hidden="1">0</definedName>
    <definedName name="solver_rhs6" localSheetId="1" hidden="1">150000</definedName>
    <definedName name="solver_rhs6" localSheetId="0" hidden="1">150000</definedName>
    <definedName name="solver_rhs60" localSheetId="0" hidden="1">0</definedName>
    <definedName name="solver_rhs61" localSheetId="0" hidden="1">0.1</definedName>
    <definedName name="solver_rhs62" localSheetId="0" hidden="1">0.1</definedName>
    <definedName name="solver_rhs63" localSheetId="0" hidden="1">0</definedName>
    <definedName name="solver_rhs64" localSheetId="0" hidden="1">0</definedName>
    <definedName name="solver_rhs65" localSheetId="0" hidden="1">0.1</definedName>
    <definedName name="solver_rhs66" localSheetId="0" hidden="1">1</definedName>
    <definedName name="solver_rhs67" localSheetId="0" hidden="1">0</definedName>
    <definedName name="solver_rhs68" localSheetId="0" hidden="1">0</definedName>
    <definedName name="solver_rhs69" localSheetId="0" hidden="1">0.1</definedName>
    <definedName name="solver_rhs7" localSheetId="0" hidden="1">0</definedName>
    <definedName name="solver_rhs70" localSheetId="0" hidden="1">0.1</definedName>
    <definedName name="solver_rhs71" localSheetId="0" hidden="1">0</definedName>
    <definedName name="solver_rhs72" localSheetId="0" hidden="1">0</definedName>
    <definedName name="solver_rhs73" localSheetId="0" hidden="1">0.1</definedName>
    <definedName name="solver_rhs74" localSheetId="0" hidden="1">1</definedName>
    <definedName name="solver_rhs75" localSheetId="0" hidden="1">0</definedName>
    <definedName name="solver_rhs76" localSheetId="0" hidden="1">0</definedName>
    <definedName name="solver_rhs77" localSheetId="0" hidden="1">1</definedName>
    <definedName name="solver_rhs78" localSheetId="0" hidden="1">0.1</definedName>
    <definedName name="solver_rhs79" localSheetId="0" hidden="1">0</definedName>
    <definedName name="solver_rhs8" localSheetId="0" hidden="1">0</definedName>
    <definedName name="solver_rhs80" localSheetId="0" hidden="1">0</definedName>
    <definedName name="solver_rhs81" localSheetId="0" hidden="1">0.1</definedName>
    <definedName name="solver_rhs82" localSheetId="0" hidden="1">1</definedName>
    <definedName name="solver_rhs83" localSheetId="0" hidden="1">0</definedName>
    <definedName name="solver_rhs84" localSheetId="0" hidden="1">0</definedName>
    <definedName name="solver_rhs85" localSheetId="0" hidden="1">1</definedName>
    <definedName name="solver_rhs86" localSheetId="0" hidden="1">1</definedName>
    <definedName name="solver_rhs87" localSheetId="0" hidden="1">0</definedName>
    <definedName name="solver_rhs88" localSheetId="0" hidden="1">0</definedName>
    <definedName name="solver_rhs89" localSheetId="0" hidden="1">0.1</definedName>
    <definedName name="solver_rhs9" localSheetId="0" hidden="1">0.1</definedName>
    <definedName name="solver_rhs90" localSheetId="0" hidden="1">0.1</definedName>
    <definedName name="solver_rhs91" localSheetId="0" hidden="1">0</definedName>
    <definedName name="solver_rhs92" localSheetId="0" hidden="1">0</definedName>
    <definedName name="solver_rhs93" localSheetId="0" hidden="1">1</definedName>
    <definedName name="solver_rhs94" localSheetId="0" hidden="1">1</definedName>
    <definedName name="solver_rhs95" localSheetId="0" hidden="1">0</definedName>
    <definedName name="solver_rhs96" localSheetId="0" hidden="1">0</definedName>
    <definedName name="solver_rhs97" localSheetId="0" hidden="1">1</definedName>
    <definedName name="solver_rhs98" localSheetId="0" hidden="1">0.1</definedName>
    <definedName name="solver_rhs99" localSheetId="0" hidden="1">0</definedName>
    <definedName name="solver_scl" localSheetId="1" hidden="1">2</definedName>
    <definedName name="solver_scl" localSheetId="2" hidden="1">2</definedName>
    <definedName name="solver_scl" localSheetId="0" hidden="1">2</definedName>
    <definedName name="solver_sho" localSheetId="1" hidden="1">2</definedName>
    <definedName name="solver_sho" localSheetId="2" hidden="1">2</definedName>
    <definedName name="solver_sho" localSheetId="0" hidden="1">2</definedName>
    <definedName name="solver_tim" localSheetId="1" hidden="1">100</definedName>
    <definedName name="solver_tim" localSheetId="2" hidden="1">100</definedName>
    <definedName name="solver_tim" localSheetId="0" hidden="1">100</definedName>
    <definedName name="solver_tol" localSheetId="1" hidden="1">0.05</definedName>
    <definedName name="solver_tol" localSheetId="2" hidden="1">0.05</definedName>
    <definedName name="solver_tol" localSheetId="0" hidden="1">0.05</definedName>
    <definedName name="solver_typ" localSheetId="1" hidden="1">2</definedName>
    <definedName name="solver_typ" localSheetId="2" hidden="1">2</definedName>
    <definedName name="solver_typ" localSheetId="0" hidden="1">2</definedName>
    <definedName name="solver_val" localSheetId="1" hidden="1">0</definedName>
    <definedName name="solver_val" localSheetId="2" hidden="1">0</definedName>
    <definedName name="solver_val" localSheetId="0" hidden="1">0</definedName>
    <definedName name="solver_ver" localSheetId="1" hidden="1">3</definedName>
    <definedName name="solver_ver" localSheetId="0" hidden="1">3</definedName>
    <definedName name="sum_shuntsquares">User!$T$16</definedName>
    <definedName name="sum_squares">User!$T$15</definedName>
    <definedName name="Temp">Calc!$A$6</definedName>
    <definedName name="TempCo">Settings!$C$12</definedName>
    <definedName name="TextSummaryFN">Settings!$D$16</definedName>
    <definedName name="TF_AccessSummary">Settings!$B$17</definedName>
    <definedName name="TF_AutoSave">Settings!$B$21</definedName>
    <definedName name="TF_AutoSummary">Settings!$B$18</definedName>
    <definedName name="TF_ExcelSummary">Settings!$B$15</definedName>
    <definedName name="TF_List">Command!$B$8:$B$9</definedName>
    <definedName name="TF_ShowErrors">Settings!$B$25</definedName>
    <definedName name="TF_TextSummary">Settings!$B$16</definedName>
    <definedName name="TF_UseSampleNameInputBox">Settings!$F$9</definedName>
    <definedName name="TimeofMaxPV">Calc!$E$6</definedName>
    <definedName name="Vmp">Calc!$G$6</definedName>
    <definedName name="Voc">Calc!$F$6</definedName>
    <definedName name="Voc_0_1suns">Calc!$R$6</definedName>
    <definedName name="VoltRangeList">Command!$B$19:$B$26</definedName>
    <definedName name="Wafer_Thickness">User!$D$6</definedName>
    <definedName name="WaferRes">User!$E$6</definedName>
    <definedName name="WaferType">User!$F$6</definedName>
  </definedNames>
  <calcPr calcId="152511"/>
</workbook>
</file>

<file path=xl/calcChain.xml><?xml version="1.0" encoding="utf-8"?>
<calcChain xmlns="http://schemas.openxmlformats.org/spreadsheetml/2006/main">
  <c r="D10" i="3" l="1"/>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9" i="3"/>
  <c r="G10" i="9" l="1"/>
  <c r="F10" i="9"/>
  <c r="U4" i="3" l="1"/>
  <c r="U2" i="3"/>
  <c r="N6" i="3" l="1"/>
  <c r="M6" i="3"/>
  <c r="C6" i="3" l="1"/>
  <c r="L1" i="3" l="1"/>
  <c r="J13" i="3" l="1"/>
  <c r="J12" i="3"/>
  <c r="J11" i="3"/>
  <c r="J10" i="3"/>
  <c r="J14" i="3"/>
  <c r="B6" i="3"/>
  <c r="F133" i="3"/>
  <c r="F10" i="3"/>
  <c r="J9" i="3" l="1"/>
  <c r="K9" i="3" s="1"/>
  <c r="H10" i="3"/>
  <c r="I3" i="11" l="1"/>
  <c r="L9" i="3"/>
  <c r="D6" i="3"/>
  <c r="E6" i="3" s="1"/>
  <c r="M9" i="3" s="1"/>
  <c r="N9" i="3" l="1"/>
  <c r="W11" i="3"/>
  <c r="W9" i="3"/>
  <c r="R10" i="3"/>
  <c r="Q11" i="3"/>
  <c r="P9" i="3"/>
  <c r="V9" i="3" s="1"/>
  <c r="W10" i="3"/>
  <c r="R11" i="3"/>
  <c r="Q9" i="3"/>
  <c r="S9" i="3" s="1"/>
  <c r="R9" i="3"/>
  <c r="T9" i="3" s="1"/>
  <c r="P10" i="3"/>
  <c r="Q10" i="3"/>
  <c r="S10" i="3" s="1"/>
  <c r="P11" i="3"/>
  <c r="M10" i="3"/>
  <c r="N10" i="3" s="1"/>
  <c r="M11" i="3"/>
  <c r="N11" i="3" s="1"/>
  <c r="F9" i="3"/>
  <c r="V11" i="3" l="1"/>
  <c r="H9" i="3"/>
  <c r="G9" i="3"/>
  <c r="G133" i="3"/>
  <c r="M13" i="3"/>
  <c r="F13" i="3"/>
  <c r="I2" i="11" l="1"/>
  <c r="T10" i="3"/>
  <c r="T11" i="3"/>
  <c r="S11" i="3"/>
  <c r="H13" i="3"/>
  <c r="H133" i="3"/>
  <c r="G13" i="3"/>
  <c r="I126" i="11" l="1"/>
  <c r="I6" i="11"/>
  <c r="F7" i="9"/>
  <c r="J2" i="11" l="1"/>
  <c r="F126" i="11"/>
  <c r="A2" i="11" l="1"/>
  <c r="B2" i="11"/>
  <c r="C2" i="11"/>
  <c r="A3" i="11"/>
  <c r="B3" i="11"/>
  <c r="C3" i="11"/>
  <c r="A4" i="11"/>
  <c r="B4" i="11"/>
  <c r="C4" i="11"/>
  <c r="A5" i="11"/>
  <c r="B5" i="11"/>
  <c r="C5" i="11"/>
  <c r="A6" i="11"/>
  <c r="B6" i="11"/>
  <c r="C6" i="11"/>
  <c r="A7" i="11"/>
  <c r="B7" i="11"/>
  <c r="C7" i="11"/>
  <c r="A8" i="11"/>
  <c r="B8" i="11"/>
  <c r="C8" i="11"/>
  <c r="A9" i="11"/>
  <c r="B9" i="11"/>
  <c r="C9" i="11"/>
  <c r="A10" i="11"/>
  <c r="B10" i="11"/>
  <c r="C10" i="11"/>
  <c r="A11" i="11"/>
  <c r="B11" i="11"/>
  <c r="C11" i="11"/>
  <c r="A12" i="11"/>
  <c r="B12" i="11"/>
  <c r="C12" i="11"/>
  <c r="A13" i="11"/>
  <c r="B13" i="11"/>
  <c r="C13" i="11"/>
  <c r="A14" i="11"/>
  <c r="B14" i="11"/>
  <c r="C14" i="11"/>
  <c r="A15" i="11"/>
  <c r="B15" i="11"/>
  <c r="C15" i="11"/>
  <c r="A16" i="11"/>
  <c r="B16" i="11"/>
  <c r="C16" i="11"/>
  <c r="A17" i="11"/>
  <c r="B17" i="11"/>
  <c r="C17" i="11"/>
  <c r="A18" i="11"/>
  <c r="B18" i="11"/>
  <c r="C18" i="11"/>
  <c r="A19" i="11"/>
  <c r="B19" i="11"/>
  <c r="C19" i="11"/>
  <c r="A20" i="11"/>
  <c r="B20" i="11"/>
  <c r="C20" i="11"/>
  <c r="A21" i="11"/>
  <c r="B21" i="11"/>
  <c r="C21" i="11"/>
  <c r="A22" i="11"/>
  <c r="B22" i="11"/>
  <c r="C22" i="11"/>
  <c r="A23" i="11"/>
  <c r="B23" i="11"/>
  <c r="C23" i="11"/>
  <c r="A24" i="11"/>
  <c r="B24" i="11"/>
  <c r="C24" i="11"/>
  <c r="A25" i="11"/>
  <c r="B25" i="11"/>
  <c r="C25" i="11"/>
  <c r="A26" i="11"/>
  <c r="B26" i="11"/>
  <c r="C26" i="11"/>
  <c r="A27" i="11"/>
  <c r="B27" i="11"/>
  <c r="C27" i="11"/>
  <c r="A28" i="11"/>
  <c r="B28" i="11"/>
  <c r="C28" i="11"/>
  <c r="A29" i="11"/>
  <c r="B29" i="11"/>
  <c r="C29" i="11"/>
  <c r="A30" i="11"/>
  <c r="B30" i="11"/>
  <c r="C30" i="11"/>
  <c r="A31" i="11"/>
  <c r="B31" i="11"/>
  <c r="C31" i="11"/>
  <c r="A32" i="11"/>
  <c r="B32" i="11"/>
  <c r="C32" i="11"/>
  <c r="A33" i="11"/>
  <c r="B33" i="11"/>
  <c r="C33" i="11"/>
  <c r="A34" i="11"/>
  <c r="B34" i="11"/>
  <c r="C34" i="11"/>
  <c r="A35" i="11"/>
  <c r="B35" i="11"/>
  <c r="C35" i="11"/>
  <c r="A36" i="11"/>
  <c r="B36" i="11"/>
  <c r="C36" i="11"/>
  <c r="A37" i="11"/>
  <c r="B37" i="11"/>
  <c r="C37" i="11"/>
  <c r="A38" i="11"/>
  <c r="B38" i="11"/>
  <c r="C38" i="11"/>
  <c r="A39" i="11"/>
  <c r="B39" i="11"/>
  <c r="C39" i="11"/>
  <c r="A40" i="11"/>
  <c r="B40" i="11"/>
  <c r="C40" i="11"/>
  <c r="A41" i="11"/>
  <c r="B41" i="11"/>
  <c r="C41" i="11"/>
  <c r="A42" i="11"/>
  <c r="B42" i="11"/>
  <c r="C42" i="11"/>
  <c r="A43" i="11"/>
  <c r="B43" i="11"/>
  <c r="C43" i="11"/>
  <c r="A44" i="11"/>
  <c r="B44" i="11"/>
  <c r="C44" i="11"/>
  <c r="A45" i="11"/>
  <c r="B45" i="11"/>
  <c r="C45" i="11"/>
  <c r="A46" i="11"/>
  <c r="B46" i="11"/>
  <c r="C46" i="11"/>
  <c r="A47" i="11"/>
  <c r="B47" i="11"/>
  <c r="C47" i="11"/>
  <c r="A48" i="11"/>
  <c r="B48" i="11"/>
  <c r="C48" i="11"/>
  <c r="A49" i="11"/>
  <c r="B49" i="11"/>
  <c r="C49" i="11"/>
  <c r="A50" i="11"/>
  <c r="B50" i="11"/>
  <c r="C50" i="11"/>
  <c r="A51" i="11"/>
  <c r="B51" i="11"/>
  <c r="C51" i="11"/>
  <c r="A52" i="11"/>
  <c r="B52" i="11"/>
  <c r="C52" i="11"/>
  <c r="A53" i="11"/>
  <c r="B53" i="11"/>
  <c r="C53" i="11"/>
  <c r="A54" i="11"/>
  <c r="B54" i="11"/>
  <c r="C54" i="11"/>
  <c r="A55" i="11"/>
  <c r="B55" i="11"/>
  <c r="C55" i="11"/>
  <c r="A56" i="11"/>
  <c r="B56" i="11"/>
  <c r="C56" i="11"/>
  <c r="A57" i="11"/>
  <c r="B57" i="11"/>
  <c r="C57" i="11"/>
  <c r="A58" i="11"/>
  <c r="B58" i="11"/>
  <c r="C58" i="11"/>
  <c r="A59" i="11"/>
  <c r="B59" i="11"/>
  <c r="C59" i="11"/>
  <c r="A60" i="11"/>
  <c r="B60" i="11"/>
  <c r="C60" i="11"/>
  <c r="A61" i="11"/>
  <c r="B61" i="11"/>
  <c r="C61" i="11"/>
  <c r="A62" i="11"/>
  <c r="B62" i="11"/>
  <c r="C62" i="11"/>
  <c r="A63" i="11"/>
  <c r="B63" i="11"/>
  <c r="C63" i="11"/>
  <c r="A64" i="11"/>
  <c r="B64" i="11"/>
  <c r="C64" i="11"/>
  <c r="A65" i="11"/>
  <c r="B65" i="11"/>
  <c r="C65" i="11"/>
  <c r="A66" i="11"/>
  <c r="B66" i="11"/>
  <c r="C66" i="11"/>
  <c r="A67" i="11"/>
  <c r="B67" i="11"/>
  <c r="C67" i="11"/>
  <c r="A68" i="11"/>
  <c r="B68" i="11"/>
  <c r="C68" i="11"/>
  <c r="A69" i="11"/>
  <c r="B69" i="11"/>
  <c r="C69" i="11"/>
  <c r="A70" i="11"/>
  <c r="B70" i="11"/>
  <c r="C70" i="11"/>
  <c r="A71" i="11"/>
  <c r="B71" i="11"/>
  <c r="C71" i="11"/>
  <c r="A72" i="11"/>
  <c r="B72" i="11"/>
  <c r="C72" i="11"/>
  <c r="A73" i="11"/>
  <c r="B73" i="11"/>
  <c r="C73" i="11"/>
  <c r="A74" i="11"/>
  <c r="B74" i="11"/>
  <c r="C74" i="11"/>
  <c r="A75" i="11"/>
  <c r="B75" i="11"/>
  <c r="C75" i="11"/>
  <c r="A76" i="11"/>
  <c r="B76" i="11"/>
  <c r="C76" i="11"/>
  <c r="A77" i="11"/>
  <c r="B77" i="11"/>
  <c r="C77" i="11"/>
  <c r="A78" i="11"/>
  <c r="B78" i="11"/>
  <c r="C78" i="11"/>
  <c r="A79" i="11"/>
  <c r="B79" i="11"/>
  <c r="C79" i="11"/>
  <c r="A80" i="11"/>
  <c r="B80" i="11"/>
  <c r="C80" i="11"/>
  <c r="A81" i="11"/>
  <c r="B81" i="11"/>
  <c r="C81" i="11"/>
  <c r="A82" i="11"/>
  <c r="B82" i="11"/>
  <c r="C82" i="11"/>
  <c r="A83" i="11"/>
  <c r="B83" i="11"/>
  <c r="C83" i="11"/>
  <c r="A84" i="11"/>
  <c r="B84" i="11"/>
  <c r="C84" i="11"/>
  <c r="A85" i="11"/>
  <c r="B85" i="11"/>
  <c r="C85" i="11"/>
  <c r="A86" i="11"/>
  <c r="B86" i="11"/>
  <c r="C86" i="11"/>
  <c r="A87" i="11"/>
  <c r="B87" i="11"/>
  <c r="C87" i="11"/>
  <c r="A88" i="11"/>
  <c r="B88" i="11"/>
  <c r="C88" i="11"/>
  <c r="A89" i="11"/>
  <c r="B89" i="11"/>
  <c r="C89" i="11"/>
  <c r="A90" i="11"/>
  <c r="B90" i="11"/>
  <c r="C90" i="11"/>
  <c r="A91" i="11"/>
  <c r="B91" i="11"/>
  <c r="C91" i="11"/>
  <c r="A92" i="11"/>
  <c r="B92" i="11"/>
  <c r="C92" i="11"/>
  <c r="A93" i="11"/>
  <c r="B93" i="11"/>
  <c r="C93" i="11"/>
  <c r="A94" i="11"/>
  <c r="B94" i="11"/>
  <c r="C94" i="11"/>
  <c r="A95" i="11"/>
  <c r="B95" i="11"/>
  <c r="C95" i="11"/>
  <c r="A96" i="11"/>
  <c r="B96" i="11"/>
  <c r="C96" i="11"/>
  <c r="A97" i="11"/>
  <c r="B97" i="11"/>
  <c r="C97" i="11"/>
  <c r="A98" i="11"/>
  <c r="B98" i="11"/>
  <c r="C98" i="11"/>
  <c r="A99" i="11"/>
  <c r="B99" i="11"/>
  <c r="C99" i="11"/>
  <c r="A100" i="11"/>
  <c r="B100" i="11"/>
  <c r="C100" i="11"/>
  <c r="A101" i="11"/>
  <c r="B101" i="11"/>
  <c r="C101" i="11"/>
  <c r="A102" i="11"/>
  <c r="B102" i="11"/>
  <c r="C102" i="11"/>
  <c r="A103" i="11"/>
  <c r="B103" i="11"/>
  <c r="C103" i="11"/>
  <c r="A104" i="11"/>
  <c r="B104" i="11"/>
  <c r="C104" i="11"/>
  <c r="A105" i="11"/>
  <c r="B105" i="11"/>
  <c r="C105" i="11"/>
  <c r="A106" i="11"/>
  <c r="B106" i="11"/>
  <c r="C106" i="11"/>
  <c r="A107" i="11"/>
  <c r="B107" i="11"/>
  <c r="C107" i="11"/>
  <c r="A108" i="11"/>
  <c r="B108" i="11"/>
  <c r="C108" i="11"/>
  <c r="A109" i="11"/>
  <c r="B109" i="11"/>
  <c r="C109" i="11"/>
  <c r="A110" i="11"/>
  <c r="B110" i="11"/>
  <c r="C110" i="11"/>
  <c r="A111" i="11"/>
  <c r="B111" i="11"/>
  <c r="C111" i="11"/>
  <c r="A112" i="11"/>
  <c r="B112" i="11"/>
  <c r="C112" i="11"/>
  <c r="A113" i="11"/>
  <c r="B113" i="11"/>
  <c r="C113" i="11"/>
  <c r="A114" i="11"/>
  <c r="B114" i="11"/>
  <c r="C114" i="11"/>
  <c r="A115" i="11"/>
  <c r="B115" i="11"/>
  <c r="C115" i="11"/>
  <c r="A116" i="11"/>
  <c r="B116" i="11"/>
  <c r="C116" i="11"/>
  <c r="A117" i="11"/>
  <c r="B117" i="11"/>
  <c r="C117" i="11"/>
  <c r="A118" i="11"/>
  <c r="B118" i="11"/>
  <c r="C118" i="11"/>
  <c r="A119" i="11"/>
  <c r="B119" i="11"/>
  <c r="C119" i="11"/>
  <c r="A120" i="11"/>
  <c r="B120" i="11"/>
  <c r="C120" i="11"/>
  <c r="A121" i="11"/>
  <c r="B121" i="11"/>
  <c r="C121" i="11"/>
  <c r="A122" i="11"/>
  <c r="B122" i="11"/>
  <c r="C122" i="11"/>
  <c r="A123" i="11"/>
  <c r="B123" i="11"/>
  <c r="C123" i="11"/>
  <c r="A124" i="11"/>
  <c r="B124" i="11"/>
  <c r="C124" i="11"/>
  <c r="A125" i="11"/>
  <c r="B125" i="11"/>
  <c r="C125" i="11"/>
  <c r="A126" i="11"/>
  <c r="B126" i="11"/>
  <c r="C126" i="11"/>
  <c r="G6" i="7" l="1"/>
  <c r="T2" i="8"/>
  <c r="G7" i="9" l="1"/>
  <c r="G8" i="9"/>
  <c r="G9" i="9"/>
  <c r="F5" i="9"/>
  <c r="G5" i="9" s="1"/>
  <c r="F6" i="9"/>
  <c r="A2" i="8"/>
  <c r="S2" i="8"/>
  <c r="R2" i="8"/>
  <c r="L2" i="8"/>
  <c r="K2" i="8"/>
  <c r="G2" i="8"/>
  <c r="C2" i="8"/>
  <c r="B2" i="8"/>
  <c r="G6" i="9" l="1"/>
  <c r="F12" i="9"/>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D2" i="11"/>
  <c r="D4" i="11"/>
  <c r="D123" i="11" l="1"/>
  <c r="D119" i="11"/>
  <c r="D115" i="11"/>
  <c r="D111" i="11"/>
  <c r="D107" i="11"/>
  <c r="D103" i="11"/>
  <c r="D99" i="11"/>
  <c r="D95" i="11"/>
  <c r="D91" i="11"/>
  <c r="D87" i="11"/>
  <c r="D83" i="11"/>
  <c r="D79" i="11"/>
  <c r="D75" i="11"/>
  <c r="D71" i="11"/>
  <c r="D67" i="11"/>
  <c r="D63" i="11"/>
  <c r="D59" i="11"/>
  <c r="D55" i="11"/>
  <c r="D51" i="11"/>
  <c r="D47" i="11"/>
  <c r="D43" i="11"/>
  <c r="D39" i="11"/>
  <c r="D35" i="11"/>
  <c r="D31" i="11"/>
  <c r="D27" i="11"/>
  <c r="D23" i="11"/>
  <c r="D19" i="11"/>
  <c r="D15" i="11"/>
  <c r="D11" i="11"/>
  <c r="D7" i="11"/>
  <c r="D126" i="11"/>
  <c r="D122" i="11"/>
  <c r="D118" i="11"/>
  <c r="D114" i="11"/>
  <c r="D110" i="11"/>
  <c r="D106" i="11"/>
  <c r="D102" i="11"/>
  <c r="D98" i="11"/>
  <c r="D94" i="11"/>
  <c r="D90" i="11"/>
  <c r="D86" i="11"/>
  <c r="D82" i="11"/>
  <c r="D78" i="11"/>
  <c r="D74" i="11"/>
  <c r="D70" i="11"/>
  <c r="D66" i="11"/>
  <c r="D62" i="11"/>
  <c r="D58" i="11"/>
  <c r="D54" i="11"/>
  <c r="D50" i="11"/>
  <c r="D46" i="11"/>
  <c r="D42" i="11"/>
  <c r="D38" i="11"/>
  <c r="D34" i="11"/>
  <c r="D30" i="11"/>
  <c r="D26" i="11"/>
  <c r="D22" i="11"/>
  <c r="D18" i="11"/>
  <c r="D14" i="11"/>
  <c r="D10" i="11"/>
  <c r="D6" i="11"/>
  <c r="D125" i="11"/>
  <c r="D121" i="11"/>
  <c r="D117" i="11"/>
  <c r="D113" i="11"/>
  <c r="D109" i="11"/>
  <c r="D105" i="11"/>
  <c r="D101" i="11"/>
  <c r="D97" i="11"/>
  <c r="D93" i="11"/>
  <c r="D89" i="11"/>
  <c r="D85" i="11"/>
  <c r="D81" i="11"/>
  <c r="D77" i="11"/>
  <c r="D73" i="11"/>
  <c r="D69" i="11"/>
  <c r="D65" i="11"/>
  <c r="D61" i="11"/>
  <c r="D57" i="11"/>
  <c r="D53" i="11"/>
  <c r="D49" i="11"/>
  <c r="D45" i="11"/>
  <c r="D41" i="11"/>
  <c r="D37" i="11"/>
  <c r="D33" i="11"/>
  <c r="D29" i="11"/>
  <c r="D25" i="11"/>
  <c r="D21" i="11"/>
  <c r="D17" i="11"/>
  <c r="D9" i="11"/>
  <c r="D124" i="11"/>
  <c r="D120" i="11"/>
  <c r="D116" i="11"/>
  <c r="D112" i="11"/>
  <c r="D108" i="11"/>
  <c r="D104" i="11"/>
  <c r="D100" i="11"/>
  <c r="D96" i="11"/>
  <c r="D92" i="11"/>
  <c r="D88" i="11"/>
  <c r="D84" i="11"/>
  <c r="D80" i="11"/>
  <c r="D76" i="11"/>
  <c r="D72" i="11"/>
  <c r="D68" i="11"/>
  <c r="D64" i="11"/>
  <c r="D60" i="11"/>
  <c r="D56" i="11"/>
  <c r="D52" i="11"/>
  <c r="D48" i="11"/>
  <c r="D44" i="11"/>
  <c r="D40" i="11"/>
  <c r="D36" i="11"/>
  <c r="D32" i="11"/>
  <c r="D28" i="11"/>
  <c r="D24" i="11"/>
  <c r="D20" i="11"/>
  <c r="D16" i="11"/>
  <c r="D12" i="11"/>
  <c r="D8" i="11"/>
  <c r="D3" i="11"/>
  <c r="D13" i="11"/>
  <c r="D5" i="11"/>
  <c r="Q2" i="8" l="1"/>
  <c r="F6" i="11"/>
  <c r="F2" i="11"/>
  <c r="E133" i="3" l="1"/>
  <c r="E13" i="3"/>
  <c r="E130" i="3"/>
  <c r="E126" i="3"/>
  <c r="E122" i="3"/>
  <c r="E118" i="3"/>
  <c r="E114" i="3"/>
  <c r="E110" i="3"/>
  <c r="E106" i="3"/>
  <c r="E102" i="3"/>
  <c r="E98" i="3"/>
  <c r="E94" i="3"/>
  <c r="E90" i="3"/>
  <c r="E86" i="3"/>
  <c r="E82" i="3"/>
  <c r="E78" i="3"/>
  <c r="E74" i="3"/>
  <c r="E70" i="3"/>
  <c r="E66" i="3"/>
  <c r="E62" i="3"/>
  <c r="E58" i="3"/>
  <c r="E54" i="3"/>
  <c r="E50" i="3"/>
  <c r="E46" i="3"/>
  <c r="E42" i="3"/>
  <c r="E38" i="3"/>
  <c r="E34" i="3"/>
  <c r="E30" i="3"/>
  <c r="E26" i="3"/>
  <c r="E22" i="3"/>
  <c r="E18" i="3"/>
  <c r="E129" i="3"/>
  <c r="E125" i="3"/>
  <c r="E121" i="3"/>
  <c r="E117" i="3"/>
  <c r="E113" i="3"/>
  <c r="E109" i="3"/>
  <c r="E105" i="3"/>
  <c r="E101" i="3"/>
  <c r="E97" i="3"/>
  <c r="E93" i="3"/>
  <c r="E89" i="3"/>
  <c r="E85" i="3"/>
  <c r="E81" i="3"/>
  <c r="E77" i="3"/>
  <c r="E73" i="3"/>
  <c r="E69" i="3"/>
  <c r="E65" i="3"/>
  <c r="E61" i="3"/>
  <c r="E57" i="3"/>
  <c r="E53" i="3"/>
  <c r="E49" i="3"/>
  <c r="E45" i="3"/>
  <c r="E41" i="3"/>
  <c r="E37" i="3"/>
  <c r="E33" i="3"/>
  <c r="E29" i="3"/>
  <c r="E25" i="3"/>
  <c r="E21" i="3"/>
  <c r="E17" i="3"/>
  <c r="E132" i="3"/>
  <c r="E124" i="3"/>
  <c r="E116" i="3"/>
  <c r="E108" i="3"/>
  <c r="E100" i="3"/>
  <c r="E92" i="3"/>
  <c r="E84" i="3"/>
  <c r="E76" i="3"/>
  <c r="E68" i="3"/>
  <c r="E60" i="3"/>
  <c r="E52" i="3"/>
  <c r="E44" i="3"/>
  <c r="E36" i="3"/>
  <c r="E28" i="3"/>
  <c r="E20" i="3"/>
  <c r="E12" i="3"/>
  <c r="E131" i="3"/>
  <c r="E127" i="3"/>
  <c r="E123" i="3"/>
  <c r="E119" i="3"/>
  <c r="E115" i="3"/>
  <c r="E111" i="3"/>
  <c r="E107" i="3"/>
  <c r="E103" i="3"/>
  <c r="E99" i="3"/>
  <c r="E95" i="3"/>
  <c r="E91" i="3"/>
  <c r="E87" i="3"/>
  <c r="E83" i="3"/>
  <c r="E79" i="3"/>
  <c r="E75" i="3"/>
  <c r="E71" i="3"/>
  <c r="E67" i="3"/>
  <c r="E63" i="3"/>
  <c r="E59" i="3"/>
  <c r="E55" i="3"/>
  <c r="E51" i="3"/>
  <c r="E47" i="3"/>
  <c r="E43" i="3"/>
  <c r="E39" i="3"/>
  <c r="E35" i="3"/>
  <c r="E31" i="3"/>
  <c r="E27" i="3"/>
  <c r="E23" i="3"/>
  <c r="E19" i="3"/>
  <c r="E15" i="3"/>
  <c r="E14" i="3"/>
  <c r="E11" i="3"/>
  <c r="E10" i="3"/>
  <c r="E128" i="3"/>
  <c r="E120" i="3"/>
  <c r="E112" i="3"/>
  <c r="E104" i="3"/>
  <c r="E96" i="3"/>
  <c r="E88" i="3"/>
  <c r="E80" i="3"/>
  <c r="E72" i="3"/>
  <c r="E64" i="3"/>
  <c r="E56" i="3"/>
  <c r="E48" i="3"/>
  <c r="E40" i="3"/>
  <c r="E32" i="3"/>
  <c r="E24" i="3"/>
  <c r="E16" i="3"/>
  <c r="F120" i="11"/>
  <c r="F112" i="11"/>
  <c r="F104" i="11"/>
  <c r="F96" i="11"/>
  <c r="F88" i="11"/>
  <c r="F84" i="11"/>
  <c r="F76" i="11"/>
  <c r="F68" i="11"/>
  <c r="F60" i="11"/>
  <c r="F52" i="11"/>
  <c r="F44" i="11"/>
  <c r="F40" i="11"/>
  <c r="F32" i="11"/>
  <c r="F28" i="11"/>
  <c r="F24" i="11"/>
  <c r="F20" i="11"/>
  <c r="F16" i="11"/>
  <c r="F12" i="11"/>
  <c r="F123" i="11"/>
  <c r="F119" i="11"/>
  <c r="F115" i="11"/>
  <c r="F111" i="11"/>
  <c r="F107" i="11"/>
  <c r="F103" i="11"/>
  <c r="F99" i="11"/>
  <c r="F95" i="11"/>
  <c r="F91" i="11"/>
  <c r="F87" i="11"/>
  <c r="F83" i="11"/>
  <c r="F79" i="11"/>
  <c r="F75" i="11"/>
  <c r="F71" i="11"/>
  <c r="F67" i="11"/>
  <c r="F63" i="11"/>
  <c r="F59" i="11"/>
  <c r="F55" i="11"/>
  <c r="F51" i="11"/>
  <c r="F47" i="11"/>
  <c r="F43" i="11"/>
  <c r="F39" i="11"/>
  <c r="F35" i="11"/>
  <c r="F31" i="11"/>
  <c r="F27" i="11"/>
  <c r="F23" i="11"/>
  <c r="F19" i="11"/>
  <c r="F15" i="11"/>
  <c r="F122" i="11"/>
  <c r="F118" i="11"/>
  <c r="F114" i="11"/>
  <c r="F110" i="11"/>
  <c r="F106" i="11"/>
  <c r="F102" i="11"/>
  <c r="F98" i="11"/>
  <c r="F94" i="11"/>
  <c r="F90" i="11"/>
  <c r="F86" i="11"/>
  <c r="F82" i="11"/>
  <c r="F78" i="11"/>
  <c r="F74" i="11"/>
  <c r="F70" i="11"/>
  <c r="F66" i="11"/>
  <c r="F62" i="11"/>
  <c r="F58" i="11"/>
  <c r="F54" i="11"/>
  <c r="F50" i="11"/>
  <c r="F46" i="11"/>
  <c r="F42" i="11"/>
  <c r="F38" i="11"/>
  <c r="F34" i="11"/>
  <c r="F30" i="11"/>
  <c r="F26" i="11"/>
  <c r="F22" i="11"/>
  <c r="F18" i="11"/>
  <c r="F14" i="11"/>
  <c r="F10" i="11"/>
  <c r="F124" i="11"/>
  <c r="F116" i="11"/>
  <c r="F108" i="11"/>
  <c r="F100" i="11"/>
  <c r="F92" i="11"/>
  <c r="F80" i="11"/>
  <c r="F72" i="11"/>
  <c r="F64" i="11"/>
  <c r="F56" i="11"/>
  <c r="F48" i="11"/>
  <c r="F36" i="11"/>
  <c r="F125" i="11"/>
  <c r="F121" i="11"/>
  <c r="F117" i="11"/>
  <c r="F113" i="11"/>
  <c r="F109" i="11"/>
  <c r="F105" i="11"/>
  <c r="F101" i="11"/>
  <c r="F97" i="11"/>
  <c r="F93" i="11"/>
  <c r="F89" i="11"/>
  <c r="F85" i="11"/>
  <c r="F81" i="11"/>
  <c r="F77" i="11"/>
  <c r="F73" i="11"/>
  <c r="F69" i="11"/>
  <c r="F65" i="11"/>
  <c r="F61" i="11"/>
  <c r="F57" i="11"/>
  <c r="F53" i="11"/>
  <c r="F49" i="11"/>
  <c r="F45" i="11"/>
  <c r="F41" i="11"/>
  <c r="F37" i="11"/>
  <c r="F33" i="11"/>
  <c r="F29" i="11"/>
  <c r="F25" i="11"/>
  <c r="F21" i="11"/>
  <c r="F17" i="11"/>
  <c r="F13" i="11"/>
  <c r="F9" i="11"/>
  <c r="F11" i="11"/>
  <c r="F7" i="11"/>
  <c r="F8" i="11"/>
  <c r="F4" i="11"/>
  <c r="F3" i="11"/>
  <c r="F5" i="11"/>
  <c r="K9" i="7"/>
  <c r="J9" i="7"/>
  <c r="P2" i="8"/>
  <c r="I6" i="7"/>
  <c r="H6" i="7"/>
  <c r="B22" i="10" l="1"/>
  <c r="K6" i="7"/>
  <c r="V10" i="3" l="1"/>
  <c r="E2" i="11" l="1"/>
  <c r="F60" i="3"/>
  <c r="I46" i="3"/>
  <c r="M80" i="3"/>
  <c r="I59" i="3"/>
  <c r="F11" i="3"/>
  <c r="M112" i="3"/>
  <c r="M108" i="3"/>
  <c r="I105" i="3"/>
  <c r="F45" i="3"/>
  <c r="F37" i="3"/>
  <c r="I91" i="3"/>
  <c r="M103" i="3"/>
  <c r="F107" i="3"/>
  <c r="F72" i="3"/>
  <c r="F41" i="3"/>
  <c r="M39" i="3"/>
  <c r="F62" i="3"/>
  <c r="M101" i="3"/>
  <c r="I63" i="3"/>
  <c r="I80" i="3"/>
  <c r="M35" i="3"/>
  <c r="M67" i="3"/>
  <c r="I57" i="3"/>
  <c r="I52" i="3"/>
  <c r="M117" i="3"/>
  <c r="F64" i="3"/>
  <c r="I124" i="3"/>
  <c r="M18" i="3"/>
  <c r="F22" i="3"/>
  <c r="F19" i="3"/>
  <c r="F122" i="3"/>
  <c r="I64" i="3"/>
  <c r="I117" i="3"/>
  <c r="M29" i="3"/>
  <c r="I102" i="3"/>
  <c r="F16" i="3"/>
  <c r="M129" i="3"/>
  <c r="F82" i="3"/>
  <c r="M54" i="3"/>
  <c r="I89" i="3"/>
  <c r="I35" i="3"/>
  <c r="I16" i="3"/>
  <c r="F36" i="3"/>
  <c r="M69" i="3"/>
  <c r="F50" i="3"/>
  <c r="M34" i="3"/>
  <c r="M33" i="3"/>
  <c r="F54" i="3"/>
  <c r="F103" i="3"/>
  <c r="F83" i="3"/>
  <c r="I101" i="3"/>
  <c r="F52" i="3"/>
  <c r="M30" i="3"/>
  <c r="I108" i="3"/>
  <c r="F69" i="3"/>
  <c r="I60" i="3"/>
  <c r="F43" i="3"/>
  <c r="I42" i="3"/>
  <c r="I114" i="3"/>
  <c r="F100" i="3"/>
  <c r="M28" i="3"/>
  <c r="F14" i="3"/>
  <c r="M132" i="3"/>
  <c r="M63" i="3"/>
  <c r="M85" i="3"/>
  <c r="I119" i="3"/>
  <c r="I130" i="3"/>
  <c r="I22" i="3"/>
  <c r="I41" i="3"/>
  <c r="F32" i="3"/>
  <c r="I65" i="3"/>
  <c r="M49" i="3"/>
  <c r="M27" i="3"/>
  <c r="I53" i="3"/>
  <c r="F98" i="3"/>
  <c r="M99" i="3"/>
  <c r="F80" i="3"/>
  <c r="M81" i="3"/>
  <c r="M22" i="3"/>
  <c r="M24" i="3"/>
  <c r="G10" i="3"/>
  <c r="M121" i="3"/>
  <c r="M115" i="3"/>
  <c r="F108" i="3"/>
  <c r="I66" i="3"/>
  <c r="I19" i="3"/>
  <c r="F12" i="3"/>
  <c r="I110" i="3"/>
  <c r="F87" i="3"/>
  <c r="I40" i="3"/>
  <c r="G62" i="3"/>
  <c r="M32" i="3"/>
  <c r="I81" i="3"/>
  <c r="G41" i="3"/>
  <c r="G100" i="3"/>
  <c r="G37" i="3"/>
  <c r="G83" i="3"/>
  <c r="G11" i="3"/>
  <c r="G64" i="3"/>
  <c r="G107" i="3"/>
  <c r="G45" i="3"/>
  <c r="G122" i="3"/>
  <c r="M114" i="3"/>
  <c r="M52" i="3"/>
  <c r="M45" i="3"/>
  <c r="I126" i="3"/>
  <c r="I79" i="3"/>
  <c r="I36" i="3"/>
  <c r="F51" i="3"/>
  <c r="M94" i="3"/>
  <c r="F91" i="3"/>
  <c r="F53" i="3"/>
  <c r="F127" i="3"/>
  <c r="I92" i="3"/>
  <c r="M41" i="3"/>
  <c r="I74" i="3"/>
  <c r="I75" i="3"/>
  <c r="I115" i="3"/>
  <c r="M71" i="3"/>
  <c r="I38" i="3"/>
  <c r="I76" i="3"/>
  <c r="F88" i="3"/>
  <c r="F78" i="3"/>
  <c r="I99" i="3"/>
  <c r="F57" i="3"/>
  <c r="I37" i="3"/>
  <c r="I112" i="3"/>
  <c r="F113" i="3"/>
  <c r="M110" i="3"/>
  <c r="F24" i="3"/>
  <c r="M75" i="3"/>
  <c r="F20" i="3"/>
  <c r="F85" i="3"/>
  <c r="M84" i="3"/>
  <c r="F106" i="3"/>
  <c r="M26" i="3"/>
  <c r="M20" i="3"/>
  <c r="I26" i="3"/>
  <c r="I94" i="3"/>
  <c r="F47" i="3"/>
  <c r="M126" i="3"/>
  <c r="I44" i="3"/>
  <c r="M14" i="3"/>
  <c r="F84" i="3"/>
  <c r="M102" i="3"/>
  <c r="I96" i="3"/>
  <c r="F120" i="3"/>
  <c r="F131" i="3"/>
  <c r="I48" i="3"/>
  <c r="F94" i="3"/>
  <c r="I30" i="3"/>
  <c r="F18" i="3"/>
  <c r="I67" i="3"/>
  <c r="I98" i="3"/>
  <c r="G53" i="3"/>
  <c r="I109" i="3"/>
  <c r="F26" i="3"/>
  <c r="M127" i="3"/>
  <c r="F111" i="3"/>
  <c r="I50" i="3"/>
  <c r="F114" i="3"/>
  <c r="F15" i="3"/>
  <c r="I55" i="3"/>
  <c r="F44" i="3"/>
  <c r="M46" i="3"/>
  <c r="M76" i="3"/>
  <c r="I29" i="3"/>
  <c r="M42" i="3"/>
  <c r="I73" i="3"/>
  <c r="I82" i="3"/>
  <c r="I95" i="3"/>
  <c r="I127" i="3"/>
  <c r="F79" i="3"/>
  <c r="M59" i="3"/>
  <c r="I56" i="3"/>
  <c r="F110" i="3"/>
  <c r="M21" i="3"/>
  <c r="I54" i="3"/>
  <c r="M82" i="3"/>
  <c r="M122" i="3"/>
  <c r="M116" i="3"/>
  <c r="G94" i="3"/>
  <c r="F92" i="3"/>
  <c r="F49" i="3"/>
  <c r="I84" i="3"/>
  <c r="G18" i="3"/>
  <c r="F38" i="3"/>
  <c r="M12" i="3"/>
  <c r="M92" i="3"/>
  <c r="I88" i="3"/>
  <c r="F71" i="3"/>
  <c r="M44" i="3"/>
  <c r="F97" i="3"/>
  <c r="I47" i="3"/>
  <c r="I90" i="3"/>
  <c r="M15" i="3"/>
  <c r="M109" i="3"/>
  <c r="M19" i="3"/>
  <c r="M61" i="3"/>
  <c r="I107" i="3"/>
  <c r="M95" i="3"/>
  <c r="G38" i="3"/>
  <c r="G49" i="3"/>
  <c r="G15" i="3"/>
  <c r="G131" i="3"/>
  <c r="G127" i="3"/>
  <c r="G120" i="3"/>
  <c r="G114" i="3"/>
  <c r="G14" i="3"/>
  <c r="G16" i="3"/>
  <c r="I21" i="3"/>
  <c r="I34" i="3"/>
  <c r="F125" i="3"/>
  <c r="I97" i="3"/>
  <c r="F81" i="3"/>
  <c r="I27" i="3"/>
  <c r="I133" i="3"/>
  <c r="F132" i="3"/>
  <c r="F118" i="3"/>
  <c r="F75" i="3"/>
  <c r="F96" i="3"/>
  <c r="I103" i="3"/>
  <c r="I113" i="3"/>
  <c r="M68" i="3"/>
  <c r="F126" i="3"/>
  <c r="M16" i="3"/>
  <c r="M83" i="3"/>
  <c r="M98" i="3"/>
  <c r="M60" i="3"/>
  <c r="M107" i="3"/>
  <c r="I111" i="3"/>
  <c r="F102" i="3"/>
  <c r="M25" i="3"/>
  <c r="M97" i="3"/>
  <c r="M38" i="3"/>
  <c r="F61" i="3"/>
  <c r="M55" i="3"/>
  <c r="I49" i="3"/>
  <c r="I15" i="3"/>
  <c r="I18" i="3"/>
  <c r="M77" i="3"/>
  <c r="F70" i="3"/>
  <c r="M130" i="3"/>
  <c r="M86" i="3"/>
  <c r="I25" i="3"/>
  <c r="M65" i="3"/>
  <c r="F115" i="3"/>
  <c r="M111" i="3"/>
  <c r="M88" i="3"/>
  <c r="I68" i="3"/>
  <c r="I11" i="3"/>
  <c r="I123" i="3"/>
  <c r="M53" i="3"/>
  <c r="F74" i="3"/>
  <c r="M124" i="3"/>
  <c r="M96" i="3"/>
  <c r="M74" i="3"/>
  <c r="M89" i="3"/>
  <c r="F17" i="3"/>
  <c r="I122" i="3"/>
  <c r="F25" i="3"/>
  <c r="M58" i="3"/>
  <c r="F77" i="3"/>
  <c r="F89" i="3"/>
  <c r="I70" i="3"/>
  <c r="F48" i="3"/>
  <c r="I17" i="3"/>
  <c r="I132" i="3"/>
  <c r="M93" i="3"/>
  <c r="F55" i="3"/>
  <c r="M37" i="3"/>
  <c r="I20" i="3"/>
  <c r="F35" i="3"/>
  <c r="F40" i="3"/>
  <c r="I51" i="3"/>
  <c r="I61" i="3"/>
  <c r="F63" i="3"/>
  <c r="M104" i="3"/>
  <c r="F109" i="3"/>
  <c r="M91" i="3"/>
  <c r="M123" i="3"/>
  <c r="M90" i="3"/>
  <c r="F105" i="3"/>
  <c r="M118" i="3"/>
  <c r="I39" i="3"/>
  <c r="F42" i="3"/>
  <c r="M131" i="3"/>
  <c r="I77" i="3"/>
  <c r="F117" i="3"/>
  <c r="F21" i="3"/>
  <c r="M87" i="3"/>
  <c r="I31" i="3"/>
  <c r="M23" i="3"/>
  <c r="I45" i="3"/>
  <c r="F123" i="3"/>
  <c r="M40" i="3"/>
  <c r="F90" i="3"/>
  <c r="F27" i="3"/>
  <c r="M56" i="3"/>
  <c r="M100" i="3"/>
  <c r="F65" i="3"/>
  <c r="M119" i="3"/>
  <c r="I14" i="3"/>
  <c r="F101" i="3"/>
  <c r="F66" i="3"/>
  <c r="F33" i="3"/>
  <c r="G19" i="3"/>
  <c r="F31" i="3"/>
  <c r="G78" i="3"/>
  <c r="G42" i="3"/>
  <c r="G92" i="3"/>
  <c r="G60" i="3"/>
  <c r="G82" i="3"/>
  <c r="G102" i="3"/>
  <c r="G77" i="3"/>
  <c r="G90" i="3"/>
  <c r="G54" i="3"/>
  <c r="G20" i="3"/>
  <c r="G44" i="3"/>
  <c r="G61" i="3"/>
  <c r="G40" i="3"/>
  <c r="G113" i="3"/>
  <c r="G88" i="3"/>
  <c r="G22" i="3"/>
  <c r="G110" i="3"/>
  <c r="G115" i="3"/>
  <c r="G47" i="3"/>
  <c r="G55" i="3"/>
  <c r="G12" i="3"/>
  <c r="G36" i="3"/>
  <c r="G70" i="3"/>
  <c r="G98" i="3"/>
  <c r="G108" i="3"/>
  <c r="I62" i="3"/>
  <c r="M70" i="3"/>
  <c r="I129" i="3"/>
  <c r="M66" i="3"/>
  <c r="I106" i="3"/>
  <c r="M113" i="3"/>
  <c r="M36" i="3"/>
  <c r="M128" i="3"/>
  <c r="F121" i="3"/>
  <c r="M17" i="3"/>
  <c r="I131" i="3"/>
  <c r="M51" i="3"/>
  <c r="F28" i="3"/>
  <c r="F76" i="3"/>
  <c r="M50" i="3"/>
  <c r="I33" i="3"/>
  <c r="I87" i="3"/>
  <c r="M78" i="3"/>
  <c r="M125" i="3"/>
  <c r="M64" i="3"/>
  <c r="I93" i="3"/>
  <c r="I120" i="3"/>
  <c r="I116" i="3"/>
  <c r="F67" i="3"/>
  <c r="G106" i="3"/>
  <c r="M31" i="3"/>
  <c r="I78" i="3"/>
  <c r="I13" i="3"/>
  <c r="M133" i="3"/>
  <c r="M48" i="3"/>
  <c r="I10" i="3"/>
  <c r="G48" i="3"/>
  <c r="F39" i="3"/>
  <c r="F128" i="3"/>
  <c r="I23" i="3"/>
  <c r="I71" i="3"/>
  <c r="I32" i="3"/>
  <c r="F46" i="3"/>
  <c r="F29" i="3"/>
  <c r="M62" i="3"/>
  <c r="M47" i="3"/>
  <c r="F124" i="3"/>
  <c r="M73" i="3"/>
  <c r="F30" i="3"/>
  <c r="G91" i="3"/>
  <c r="F129" i="3"/>
  <c r="F58" i="3"/>
  <c r="F99" i="3"/>
  <c r="F130" i="3"/>
  <c r="F93" i="3"/>
  <c r="I86" i="3"/>
  <c r="F56" i="3"/>
  <c r="G96" i="3"/>
  <c r="G57" i="3"/>
  <c r="G39" i="3"/>
  <c r="G56" i="3"/>
  <c r="G93" i="3"/>
  <c r="G72" i="3"/>
  <c r="G71" i="3"/>
  <c r="G35" i="3"/>
  <c r="M120" i="3"/>
  <c r="I24" i="3"/>
  <c r="I121" i="3"/>
  <c r="F116" i="3"/>
  <c r="F104" i="3"/>
  <c r="M79" i="3"/>
  <c r="I125" i="3"/>
  <c r="G89" i="3"/>
  <c r="G52" i="3"/>
  <c r="I85" i="3"/>
  <c r="M106" i="3"/>
  <c r="F68" i="3"/>
  <c r="F119" i="3"/>
  <c r="I43" i="3"/>
  <c r="F95" i="3"/>
  <c r="I69" i="3"/>
  <c r="I100" i="3"/>
  <c r="I104" i="3"/>
  <c r="I28" i="3"/>
  <c r="F23" i="3"/>
  <c r="M105" i="3"/>
  <c r="F34" i="3"/>
  <c r="I12" i="3"/>
  <c r="M57" i="3"/>
  <c r="F73" i="3"/>
  <c r="M43" i="3"/>
  <c r="I58" i="3"/>
  <c r="F59" i="3"/>
  <c r="I118" i="3"/>
  <c r="G17" i="3"/>
  <c r="G27" i="3"/>
  <c r="G85" i="3"/>
  <c r="G24" i="3"/>
  <c r="G68" i="3"/>
  <c r="G28" i="3"/>
  <c r="G66" i="3"/>
  <c r="G99" i="3"/>
  <c r="I128" i="3"/>
  <c r="I83" i="3"/>
  <c r="I72" i="3"/>
  <c r="F112" i="3"/>
  <c r="M72" i="3"/>
  <c r="F86" i="3"/>
  <c r="G116" i="3"/>
  <c r="G43" i="3"/>
  <c r="G32" i="3"/>
  <c r="G69" i="3"/>
  <c r="G103" i="3"/>
  <c r="G87" i="3"/>
  <c r="G101" i="3"/>
  <c r="G50" i="3"/>
  <c r="G80" i="3"/>
  <c r="G21" i="3"/>
  <c r="G128" i="3"/>
  <c r="G51" i="3"/>
  <c r="G84" i="3"/>
  <c r="G26" i="3"/>
  <c r="G111" i="3"/>
  <c r="G79" i="3"/>
  <c r="G97" i="3"/>
  <c r="G125" i="3"/>
  <c r="G81" i="3"/>
  <c r="G132" i="3"/>
  <c r="G118" i="3"/>
  <c r="G75" i="3"/>
  <c r="G126" i="3"/>
  <c r="G74" i="3"/>
  <c r="G25" i="3"/>
  <c r="G63" i="3"/>
  <c r="G109" i="3"/>
  <c r="G105" i="3"/>
  <c r="G117" i="3"/>
  <c r="G123" i="3"/>
  <c r="G65" i="3"/>
  <c r="G33" i="3"/>
  <c r="G31" i="3"/>
  <c r="G121" i="3"/>
  <c r="G76" i="3"/>
  <c r="G67" i="3"/>
  <c r="G46" i="3"/>
  <c r="G29" i="3"/>
  <c r="G124" i="3"/>
  <c r="G30" i="3"/>
  <c r="G129" i="3"/>
  <c r="G58" i="3"/>
  <c r="G130" i="3"/>
  <c r="G104" i="3"/>
  <c r="G119" i="3"/>
  <c r="G95" i="3"/>
  <c r="G23" i="3"/>
  <c r="G34" i="3"/>
  <c r="G73" i="3"/>
  <c r="G59" i="3"/>
  <c r="G112" i="3"/>
  <c r="G86" i="3"/>
  <c r="H86" i="3" l="1"/>
  <c r="I79" i="11" s="1"/>
  <c r="H112" i="3"/>
  <c r="I105" i="11" s="1"/>
  <c r="K72" i="3"/>
  <c r="K83" i="3"/>
  <c r="K128" i="3"/>
  <c r="K118" i="3"/>
  <c r="H59" i="3"/>
  <c r="I52" i="11" s="1"/>
  <c r="K58" i="3"/>
  <c r="H73" i="3"/>
  <c r="I66" i="11" s="1"/>
  <c r="K12" i="3"/>
  <c r="L12" i="3" s="1"/>
  <c r="P12" i="3" s="1"/>
  <c r="V12" i="3" s="1"/>
  <c r="H34" i="3"/>
  <c r="I27" i="11" s="1"/>
  <c r="H23" i="3"/>
  <c r="I16" i="11" s="1"/>
  <c r="K28" i="3"/>
  <c r="K104" i="3"/>
  <c r="K100" i="3"/>
  <c r="K69" i="3"/>
  <c r="H95" i="3"/>
  <c r="I88" i="11" s="1"/>
  <c r="K43" i="3"/>
  <c r="H119" i="3"/>
  <c r="I112" i="11" s="1"/>
  <c r="H68" i="3"/>
  <c r="I61" i="11" s="1"/>
  <c r="K85" i="3"/>
  <c r="K125" i="3"/>
  <c r="H104" i="3"/>
  <c r="I97" i="11" s="1"/>
  <c r="H116" i="3"/>
  <c r="I109" i="11" s="1"/>
  <c r="K121" i="3"/>
  <c r="K24" i="3"/>
  <c r="H56" i="3"/>
  <c r="I49" i="11" s="1"/>
  <c r="K86" i="3"/>
  <c r="H93" i="3"/>
  <c r="I86" i="11" s="1"/>
  <c r="H130" i="3"/>
  <c r="I123" i="11" s="1"/>
  <c r="H99" i="3"/>
  <c r="I92" i="11" s="1"/>
  <c r="H58" i="3"/>
  <c r="I51" i="11" s="1"/>
  <c r="H129" i="3"/>
  <c r="I122" i="11" s="1"/>
  <c r="H30" i="3"/>
  <c r="I23" i="11" s="1"/>
  <c r="H124" i="3"/>
  <c r="I117" i="11" s="1"/>
  <c r="H29" i="3"/>
  <c r="I22" i="11" s="1"/>
  <c r="H46" i="3"/>
  <c r="I39" i="11" s="1"/>
  <c r="K32" i="3"/>
  <c r="K71" i="3"/>
  <c r="K23" i="3"/>
  <c r="H128" i="3"/>
  <c r="I121" i="11" s="1"/>
  <c r="H39" i="3"/>
  <c r="I32" i="11" s="1"/>
  <c r="K10" i="3"/>
  <c r="K13" i="3"/>
  <c r="K78" i="3"/>
  <c r="H67" i="3"/>
  <c r="I60" i="11" s="1"/>
  <c r="K116" i="3"/>
  <c r="K120" i="3"/>
  <c r="K93" i="3"/>
  <c r="K87" i="3"/>
  <c r="K33" i="3"/>
  <c r="H76" i="3"/>
  <c r="I69" i="11" s="1"/>
  <c r="H28" i="3"/>
  <c r="I21" i="11" s="1"/>
  <c r="K131" i="3"/>
  <c r="H121" i="3"/>
  <c r="I114" i="11" s="1"/>
  <c r="K106" i="3"/>
  <c r="K129" i="3"/>
  <c r="K62" i="3"/>
  <c r="H31" i="3"/>
  <c r="I24" i="11" s="1"/>
  <c r="H33" i="3"/>
  <c r="I26" i="11" s="1"/>
  <c r="H66" i="3"/>
  <c r="I59" i="11" s="1"/>
  <c r="H101" i="3"/>
  <c r="I94" i="11" s="1"/>
  <c r="K14" i="3"/>
  <c r="H65" i="3"/>
  <c r="I58" i="11" s="1"/>
  <c r="H27" i="3"/>
  <c r="I20" i="11" s="1"/>
  <c r="H90" i="3"/>
  <c r="I83" i="11" s="1"/>
  <c r="H123" i="3"/>
  <c r="I116" i="11" s="1"/>
  <c r="K45" i="3"/>
  <c r="K31" i="3"/>
  <c r="H21" i="3"/>
  <c r="I14" i="11" s="1"/>
  <c r="H117" i="3"/>
  <c r="I110" i="11" s="1"/>
  <c r="K77" i="3"/>
  <c r="H42" i="3"/>
  <c r="I35" i="11" s="1"/>
  <c r="K39" i="3"/>
  <c r="H105" i="3"/>
  <c r="I98" i="11" s="1"/>
  <c r="H109" i="3"/>
  <c r="I102" i="11" s="1"/>
  <c r="H63" i="3"/>
  <c r="I56" i="11" s="1"/>
  <c r="K61" i="3"/>
  <c r="K51" i="3"/>
  <c r="H40" i="3"/>
  <c r="I33" i="11" s="1"/>
  <c r="H35" i="3"/>
  <c r="I28" i="11" s="1"/>
  <c r="K20" i="3"/>
  <c r="H55" i="3"/>
  <c r="I48" i="11" s="1"/>
  <c r="K132" i="3"/>
  <c r="K17" i="3"/>
  <c r="H48" i="3"/>
  <c r="I41" i="11" s="1"/>
  <c r="K70" i="3"/>
  <c r="H89" i="3"/>
  <c r="I82" i="11" s="1"/>
  <c r="H77" i="3"/>
  <c r="I70" i="11" s="1"/>
  <c r="H25" i="3"/>
  <c r="I18" i="11" s="1"/>
  <c r="K122" i="3"/>
  <c r="H17" i="3"/>
  <c r="I10" i="11" s="1"/>
  <c r="H74" i="3"/>
  <c r="I67" i="11" s="1"/>
  <c r="K123" i="3"/>
  <c r="K11" i="3"/>
  <c r="L11" i="3" s="1"/>
  <c r="K68" i="3"/>
  <c r="H115" i="3"/>
  <c r="I108" i="11" s="1"/>
  <c r="K25" i="3"/>
  <c r="H70" i="3"/>
  <c r="I63" i="11" s="1"/>
  <c r="K18" i="3"/>
  <c r="K15" i="3"/>
  <c r="K49" i="3"/>
  <c r="H61" i="3"/>
  <c r="I54" i="11" s="1"/>
  <c r="H102" i="3"/>
  <c r="I95" i="11" s="1"/>
  <c r="K111" i="3"/>
  <c r="H126" i="3"/>
  <c r="I119" i="11" s="1"/>
  <c r="K113" i="3"/>
  <c r="K103" i="3"/>
  <c r="H96" i="3"/>
  <c r="I89" i="11" s="1"/>
  <c r="H75" i="3"/>
  <c r="I68" i="11" s="1"/>
  <c r="H118" i="3"/>
  <c r="I111" i="11" s="1"/>
  <c r="H132" i="3"/>
  <c r="I125" i="11" s="1"/>
  <c r="K133" i="3"/>
  <c r="K27" i="3"/>
  <c r="H81" i="3"/>
  <c r="I74" i="11" s="1"/>
  <c r="K97" i="3"/>
  <c r="H125" i="3"/>
  <c r="I118" i="11" s="1"/>
  <c r="K34" i="3"/>
  <c r="K21" i="3"/>
  <c r="K107" i="3"/>
  <c r="K90" i="3"/>
  <c r="K47" i="3"/>
  <c r="H97" i="3"/>
  <c r="I90" i="11" s="1"/>
  <c r="H71" i="3"/>
  <c r="I64" i="11" s="1"/>
  <c r="K88" i="3"/>
  <c r="H38" i="3"/>
  <c r="I31" i="11" s="1"/>
  <c r="K84" i="3"/>
  <c r="H49" i="3"/>
  <c r="I42" i="11" s="1"/>
  <c r="H92" i="3"/>
  <c r="I85" i="11" s="1"/>
  <c r="K54" i="3"/>
  <c r="H110" i="3"/>
  <c r="I103" i="11" s="1"/>
  <c r="K56" i="3"/>
  <c r="H79" i="3"/>
  <c r="I72" i="11" s="1"/>
  <c r="K127" i="3"/>
  <c r="K95" i="3"/>
  <c r="K82" i="3"/>
  <c r="K73" i="3"/>
  <c r="K29" i="3"/>
  <c r="H44" i="3"/>
  <c r="I37" i="11" s="1"/>
  <c r="K55" i="3"/>
  <c r="H15" i="3"/>
  <c r="I8" i="11" s="1"/>
  <c r="H114" i="3"/>
  <c r="I107" i="11" s="1"/>
  <c r="K50" i="3"/>
  <c r="H111" i="3"/>
  <c r="I104" i="11" s="1"/>
  <c r="H26" i="3"/>
  <c r="I19" i="11" s="1"/>
  <c r="K109" i="3"/>
  <c r="K98" i="3"/>
  <c r="K67" i="3"/>
  <c r="H18" i="3"/>
  <c r="I11" i="11" s="1"/>
  <c r="K30" i="3"/>
  <c r="H94" i="3"/>
  <c r="I87" i="11" s="1"/>
  <c r="K48" i="3"/>
  <c r="H131" i="3"/>
  <c r="I124" i="11" s="1"/>
  <c r="H120" i="3"/>
  <c r="I113" i="11" s="1"/>
  <c r="K96" i="3"/>
  <c r="H84" i="3"/>
  <c r="I77" i="11" s="1"/>
  <c r="K44" i="3"/>
  <c r="H47" i="3"/>
  <c r="I40" i="11" s="1"/>
  <c r="K94" i="3"/>
  <c r="K26" i="3"/>
  <c r="H106" i="3"/>
  <c r="I99" i="11" s="1"/>
  <c r="H85" i="3"/>
  <c r="I78" i="11" s="1"/>
  <c r="H20" i="3"/>
  <c r="I13" i="11" s="1"/>
  <c r="H24" i="3"/>
  <c r="I17" i="11" s="1"/>
  <c r="H113" i="3"/>
  <c r="I106" i="11" s="1"/>
  <c r="K112" i="3"/>
  <c r="K37" i="3"/>
  <c r="H57" i="3"/>
  <c r="I50" i="11" s="1"/>
  <c r="K99" i="3"/>
  <c r="H78" i="3"/>
  <c r="I71" i="11" s="1"/>
  <c r="H88" i="3"/>
  <c r="I81" i="11" s="1"/>
  <c r="K76" i="3"/>
  <c r="K38" i="3"/>
  <c r="K115" i="3"/>
  <c r="K75" i="3"/>
  <c r="K74" i="3"/>
  <c r="K92" i="3"/>
  <c r="H127" i="3"/>
  <c r="I120" i="11" s="1"/>
  <c r="H53" i="3"/>
  <c r="I46" i="11" s="1"/>
  <c r="H91" i="3"/>
  <c r="I84" i="11" s="1"/>
  <c r="H51" i="3"/>
  <c r="I44" i="11" s="1"/>
  <c r="K36" i="3"/>
  <c r="K79" i="3"/>
  <c r="K126" i="3"/>
  <c r="K81" i="3"/>
  <c r="K40" i="3"/>
  <c r="H87" i="3"/>
  <c r="I80" i="11" s="1"/>
  <c r="K110" i="3"/>
  <c r="H12" i="3"/>
  <c r="I5" i="11" s="1"/>
  <c r="K19" i="3"/>
  <c r="K66" i="3"/>
  <c r="H108" i="3"/>
  <c r="I101" i="11" s="1"/>
  <c r="H80" i="3"/>
  <c r="I73" i="11" s="1"/>
  <c r="H98" i="3"/>
  <c r="I91" i="11" s="1"/>
  <c r="K53" i="3"/>
  <c r="K65" i="3"/>
  <c r="H32" i="3"/>
  <c r="I25" i="11" s="1"/>
  <c r="K41" i="3"/>
  <c r="K22" i="3"/>
  <c r="K130" i="3"/>
  <c r="K119" i="3"/>
  <c r="H14" i="3"/>
  <c r="I7" i="11" s="1"/>
  <c r="H100" i="3"/>
  <c r="I93" i="11" s="1"/>
  <c r="K114" i="3"/>
  <c r="K42" i="3"/>
  <c r="H43" i="3"/>
  <c r="I36" i="11" s="1"/>
  <c r="K60" i="3"/>
  <c r="H69" i="3"/>
  <c r="I62" i="11" s="1"/>
  <c r="K108" i="3"/>
  <c r="H52" i="3"/>
  <c r="I45" i="11" s="1"/>
  <c r="K101" i="3"/>
  <c r="H83" i="3"/>
  <c r="I76" i="11" s="1"/>
  <c r="H103" i="3"/>
  <c r="I96" i="11" s="1"/>
  <c r="H54" i="3"/>
  <c r="I47" i="11" s="1"/>
  <c r="H50" i="3"/>
  <c r="I43" i="11" s="1"/>
  <c r="H36" i="3"/>
  <c r="I29" i="11" s="1"/>
  <c r="K16" i="3"/>
  <c r="K35" i="3"/>
  <c r="K89" i="3"/>
  <c r="H82" i="3"/>
  <c r="I75" i="11" s="1"/>
  <c r="H16" i="3"/>
  <c r="I9" i="11" s="1"/>
  <c r="K102" i="3"/>
  <c r="K117" i="3"/>
  <c r="K64" i="3"/>
  <c r="H122" i="3"/>
  <c r="I115" i="11" s="1"/>
  <c r="H19" i="3"/>
  <c r="I12" i="11" s="1"/>
  <c r="H22" i="3"/>
  <c r="I15" i="11" s="1"/>
  <c r="K124" i="3"/>
  <c r="H64" i="3"/>
  <c r="I57" i="11" s="1"/>
  <c r="K52" i="3"/>
  <c r="K57" i="3"/>
  <c r="K80" i="3"/>
  <c r="K63" i="3"/>
  <c r="H62" i="3"/>
  <c r="I55" i="11" s="1"/>
  <c r="H41" i="3"/>
  <c r="I34" i="11" s="1"/>
  <c r="H72" i="3"/>
  <c r="I65" i="11" s="1"/>
  <c r="H107" i="3"/>
  <c r="I100" i="11" s="1"/>
  <c r="K91" i="3"/>
  <c r="H37" i="3"/>
  <c r="I30" i="11" s="1"/>
  <c r="H45" i="3"/>
  <c r="I38" i="11" s="1"/>
  <c r="K105" i="3"/>
  <c r="H11" i="3"/>
  <c r="I4" i="11" s="1"/>
  <c r="K59" i="3"/>
  <c r="K46" i="3"/>
  <c r="H60" i="3"/>
  <c r="I53" i="11" s="1"/>
  <c r="N12" i="3"/>
  <c r="U9" i="3"/>
  <c r="O11" i="3" l="1"/>
  <c r="O12" i="3"/>
  <c r="R12" i="3"/>
  <c r="T12" i="3" s="1"/>
  <c r="Q12" i="3"/>
  <c r="S12" i="3" s="1"/>
  <c r="G2" i="11"/>
  <c r="X9" i="3"/>
  <c r="L48" i="3"/>
  <c r="O48" i="3" s="1"/>
  <c r="L46" i="3"/>
  <c r="O46" i="3" s="1"/>
  <c r="L94" i="3"/>
  <c r="O94" i="3" s="1"/>
  <c r="L100" i="3"/>
  <c r="O100" i="3" s="1"/>
  <c r="L24" i="3"/>
  <c r="O24" i="3" s="1"/>
  <c r="L18" i="3"/>
  <c r="O18" i="3" s="1"/>
  <c r="L64" i="3"/>
  <c r="O64" i="3" s="1"/>
  <c r="L72" i="3"/>
  <c r="O72" i="3" s="1"/>
  <c r="L115" i="3"/>
  <c r="O115" i="3" s="1"/>
  <c r="L32" i="3"/>
  <c r="O32" i="3" s="1"/>
  <c r="L22" i="3"/>
  <c r="O22" i="3" s="1"/>
  <c r="L30" i="3"/>
  <c r="O30" i="3" s="1"/>
  <c r="L80" i="3"/>
  <c r="O80" i="3" s="1"/>
  <c r="L84" i="3"/>
  <c r="O84" i="3" s="1"/>
  <c r="L14" i="3"/>
  <c r="O14" i="3" s="1"/>
  <c r="H2" i="11"/>
  <c r="L16" i="3"/>
  <c r="O16" i="3" s="1"/>
  <c r="L113" i="3"/>
  <c r="O113" i="3" s="1"/>
  <c r="L109" i="3"/>
  <c r="O109" i="3" s="1"/>
  <c r="L129" i="3"/>
  <c r="O129" i="3" s="1"/>
  <c r="L40" i="3"/>
  <c r="O40" i="3" s="1"/>
  <c r="L38" i="3"/>
  <c r="O38" i="3" s="1"/>
  <c r="L86" i="3"/>
  <c r="O86" i="3" s="1"/>
  <c r="L92" i="3"/>
  <c r="O92" i="3" s="1"/>
  <c r="L103" i="3"/>
  <c r="O103" i="3" s="1"/>
  <c r="L125" i="3"/>
  <c r="O125" i="3" s="1"/>
  <c r="L27" i="3"/>
  <c r="O27" i="3" s="1"/>
  <c r="P24" i="3" l="1"/>
  <c r="V24" i="3" s="1"/>
  <c r="J17" i="11"/>
  <c r="R125" i="3"/>
  <c r="T125" i="3" s="1"/>
  <c r="Q125" i="3"/>
  <c r="S125" i="3" s="1"/>
  <c r="P125" i="3"/>
  <c r="V125" i="3" s="1"/>
  <c r="Q113" i="3"/>
  <c r="S113" i="3" s="1"/>
  <c r="P113" i="3"/>
  <c r="V113" i="3" s="1"/>
  <c r="R113" i="3"/>
  <c r="T113" i="3" s="1"/>
  <c r="R46" i="3"/>
  <c r="T46" i="3" s="1"/>
  <c r="Q46" i="3"/>
  <c r="S46" i="3" s="1"/>
  <c r="P46" i="3"/>
  <c r="R103" i="3"/>
  <c r="T103" i="3" s="1"/>
  <c r="Q103" i="3"/>
  <c r="S103" i="3" s="1"/>
  <c r="P103" i="3"/>
  <c r="V103" i="3" s="1"/>
  <c r="R40" i="3"/>
  <c r="T40" i="3" s="1"/>
  <c r="Q40" i="3"/>
  <c r="S40" i="3" s="1"/>
  <c r="P40" i="3"/>
  <c r="R16" i="3"/>
  <c r="T16" i="3" s="1"/>
  <c r="P16" i="3"/>
  <c r="V16" i="3" s="1"/>
  <c r="Q16" i="3"/>
  <c r="S16" i="3" s="1"/>
  <c r="R84" i="3"/>
  <c r="T84" i="3" s="1"/>
  <c r="Q84" i="3"/>
  <c r="S84" i="3" s="1"/>
  <c r="P84" i="3"/>
  <c r="V84" i="3" s="1"/>
  <c r="R32" i="3"/>
  <c r="T32" i="3" s="1"/>
  <c r="Q32" i="3"/>
  <c r="S32" i="3" s="1"/>
  <c r="P32" i="3"/>
  <c r="V32" i="3" s="1"/>
  <c r="R24" i="3"/>
  <c r="T24" i="3" s="1"/>
  <c r="Q24" i="3"/>
  <c r="S24" i="3" s="1"/>
  <c r="R48" i="3"/>
  <c r="T48" i="3" s="1"/>
  <c r="P48" i="3"/>
  <c r="Q48" i="3"/>
  <c r="S48" i="3" s="1"/>
  <c r="R92" i="3"/>
  <c r="T92" i="3" s="1"/>
  <c r="Q92" i="3"/>
  <c r="S92" i="3" s="1"/>
  <c r="P92" i="3"/>
  <c r="V92" i="3" s="1"/>
  <c r="Q129" i="3"/>
  <c r="S129" i="3" s="1"/>
  <c r="P129" i="3"/>
  <c r="V129" i="3" s="1"/>
  <c r="R129" i="3"/>
  <c r="T129" i="3" s="1"/>
  <c r="R80" i="3"/>
  <c r="T80" i="3" s="1"/>
  <c r="P80" i="3"/>
  <c r="V80" i="3" s="1"/>
  <c r="Q80" i="3"/>
  <c r="S80" i="3" s="1"/>
  <c r="Q115" i="3"/>
  <c r="S115" i="3" s="1"/>
  <c r="P115" i="3"/>
  <c r="V115" i="3" s="1"/>
  <c r="R115" i="3"/>
  <c r="T115" i="3" s="1"/>
  <c r="R72" i="3"/>
  <c r="T72" i="3" s="1"/>
  <c r="Q72" i="3"/>
  <c r="S72" i="3" s="1"/>
  <c r="P72" i="3"/>
  <c r="V72" i="3" s="1"/>
  <c r="R100" i="3"/>
  <c r="T100" i="3" s="1"/>
  <c r="Q100" i="3"/>
  <c r="S100" i="3" s="1"/>
  <c r="P100" i="3"/>
  <c r="V100" i="3" s="1"/>
  <c r="R38" i="3"/>
  <c r="T38" i="3" s="1"/>
  <c r="Q38" i="3"/>
  <c r="S38" i="3" s="1"/>
  <c r="P38" i="3"/>
  <c r="V38" i="3" s="1"/>
  <c r="R22" i="3"/>
  <c r="T22" i="3" s="1"/>
  <c r="Q22" i="3"/>
  <c r="S22" i="3" s="1"/>
  <c r="P22" i="3"/>
  <c r="V22" i="3" s="1"/>
  <c r="R18" i="3"/>
  <c r="T18" i="3" s="1"/>
  <c r="P18" i="3"/>
  <c r="V18" i="3" s="1"/>
  <c r="Q18" i="3"/>
  <c r="S18" i="3" s="1"/>
  <c r="R86" i="3"/>
  <c r="T86" i="3" s="1"/>
  <c r="P86" i="3"/>
  <c r="V86" i="3" s="1"/>
  <c r="Q86" i="3"/>
  <c r="S86" i="3" s="1"/>
  <c r="R109" i="3"/>
  <c r="T109" i="3" s="1"/>
  <c r="Q109" i="3"/>
  <c r="S109" i="3" s="1"/>
  <c r="P109" i="3"/>
  <c r="V109" i="3" s="1"/>
  <c r="R14" i="3"/>
  <c r="T14" i="3" s="1"/>
  <c r="Q14" i="3"/>
  <c r="S14" i="3" s="1"/>
  <c r="P14" i="3"/>
  <c r="V14" i="3" s="1"/>
  <c r="R30" i="3"/>
  <c r="T30" i="3" s="1"/>
  <c r="Q30" i="3"/>
  <c r="S30" i="3" s="1"/>
  <c r="P30" i="3"/>
  <c r="V30" i="3" s="1"/>
  <c r="R64" i="3"/>
  <c r="T64" i="3" s="1"/>
  <c r="P64" i="3"/>
  <c r="Q64" i="3"/>
  <c r="S64" i="3" s="1"/>
  <c r="R94" i="3"/>
  <c r="T94" i="3" s="1"/>
  <c r="Q94" i="3"/>
  <c r="S94" i="3" s="1"/>
  <c r="P94" i="3"/>
  <c r="V94" i="3" s="1"/>
  <c r="J7" i="11"/>
  <c r="N129" i="3"/>
  <c r="N115" i="3"/>
  <c r="N72" i="3"/>
  <c r="N86" i="3"/>
  <c r="N109" i="3"/>
  <c r="N30" i="3"/>
  <c r="N64" i="3"/>
  <c r="N94" i="3"/>
  <c r="N92" i="3"/>
  <c r="N125" i="3"/>
  <c r="N38" i="3"/>
  <c r="N46" i="3"/>
  <c r="N32" i="3"/>
  <c r="N16" i="3"/>
  <c r="N18" i="3"/>
  <c r="N80" i="3"/>
  <c r="E93" i="11"/>
  <c r="N100" i="3"/>
  <c r="E7" i="11"/>
  <c r="N14" i="3"/>
  <c r="N113" i="3"/>
  <c r="N22" i="3"/>
  <c r="N103" i="3"/>
  <c r="N40" i="3"/>
  <c r="N84" i="3"/>
  <c r="N24" i="3"/>
  <c r="N48" i="3"/>
  <c r="U18" i="3"/>
  <c r="W18" i="3" s="1"/>
  <c r="J93" i="11"/>
  <c r="U100" i="3"/>
  <c r="W100" i="3" s="1"/>
  <c r="E118" i="11"/>
  <c r="E31" i="11"/>
  <c r="E65" i="11"/>
  <c r="E39" i="11"/>
  <c r="E9" i="11"/>
  <c r="E25" i="11"/>
  <c r="E96" i="11"/>
  <c r="E33" i="11"/>
  <c r="E73" i="11"/>
  <c r="E57" i="11"/>
  <c r="U94" i="3"/>
  <c r="W94" i="3" s="1"/>
  <c r="E87" i="11"/>
  <c r="U40" i="3"/>
  <c r="W40" i="3" s="1"/>
  <c r="U46" i="3"/>
  <c r="W46" i="3" s="1"/>
  <c r="U92" i="3"/>
  <c r="W92" i="3" s="1"/>
  <c r="E85" i="11"/>
  <c r="U129" i="3"/>
  <c r="W129" i="3" s="1"/>
  <c r="E122" i="11"/>
  <c r="E15" i="11"/>
  <c r="E11" i="11"/>
  <c r="U48" i="3"/>
  <c r="W48" i="3" s="1"/>
  <c r="E41" i="11"/>
  <c r="E77" i="11"/>
  <c r="E79" i="11"/>
  <c r="U109" i="3"/>
  <c r="W109" i="3" s="1"/>
  <c r="E102" i="11"/>
  <c r="E108" i="11"/>
  <c r="E17" i="11"/>
  <c r="U113" i="3"/>
  <c r="W113" i="3" s="1"/>
  <c r="E106" i="11"/>
  <c r="E23" i="11"/>
  <c r="U103" i="3"/>
  <c r="W103" i="3" s="1"/>
  <c r="U64" i="3"/>
  <c r="W64" i="3" s="1"/>
  <c r="U24" i="3"/>
  <c r="W24" i="3" s="1"/>
  <c r="U30" i="3"/>
  <c r="W30" i="3" s="1"/>
  <c r="U32" i="3"/>
  <c r="W32" i="3" s="1"/>
  <c r="U84" i="3"/>
  <c r="W84" i="3" s="1"/>
  <c r="U86" i="3"/>
  <c r="W86" i="3" s="1"/>
  <c r="J39" i="11"/>
  <c r="J87" i="11"/>
  <c r="J41" i="11"/>
  <c r="J106" i="11"/>
  <c r="J77" i="11"/>
  <c r="J23" i="11"/>
  <c r="J25" i="11"/>
  <c r="J118" i="11"/>
  <c r="J96" i="11"/>
  <c r="J85" i="11"/>
  <c r="J79" i="11"/>
  <c r="J31" i="11"/>
  <c r="J33" i="11"/>
  <c r="J122" i="11"/>
  <c r="J102" i="11"/>
  <c r="J73" i="11"/>
  <c r="J15" i="11"/>
  <c r="J108" i="11"/>
  <c r="J65" i="11"/>
  <c r="J57" i="11"/>
  <c r="J11" i="11"/>
  <c r="L132" i="3"/>
  <c r="O132" i="3" s="1"/>
  <c r="L106" i="3"/>
  <c r="O106" i="3" s="1"/>
  <c r="L126" i="3"/>
  <c r="O126" i="3" s="1"/>
  <c r="L118" i="3"/>
  <c r="O118" i="3" s="1"/>
  <c r="L104" i="3"/>
  <c r="O104" i="3" s="1"/>
  <c r="L29" i="3"/>
  <c r="O29" i="3" s="1"/>
  <c r="L57" i="3"/>
  <c r="O57" i="3" s="1"/>
  <c r="L43" i="3"/>
  <c r="O43" i="3" s="1"/>
  <c r="L59" i="3"/>
  <c r="O59" i="3" s="1"/>
  <c r="L75" i="3"/>
  <c r="O75" i="3" s="1"/>
  <c r="L91" i="3"/>
  <c r="O91" i="3" s="1"/>
  <c r="L33" i="3"/>
  <c r="O33" i="3" s="1"/>
  <c r="L65" i="3"/>
  <c r="O65" i="3" s="1"/>
  <c r="L81" i="3"/>
  <c r="O81" i="3" s="1"/>
  <c r="L97" i="3"/>
  <c r="O97" i="3" s="1"/>
  <c r="L131" i="3"/>
  <c r="O131" i="3" s="1"/>
  <c r="L111" i="3"/>
  <c r="O111" i="3" s="1"/>
  <c r="L78" i="3"/>
  <c r="O78" i="3" s="1"/>
  <c r="L82" i="3"/>
  <c r="O82" i="3" s="1"/>
  <c r="L66" i="3"/>
  <c r="O66" i="3" s="1"/>
  <c r="L60" i="3"/>
  <c r="O60" i="3" s="1"/>
  <c r="L26" i="3"/>
  <c r="O26" i="3" s="1"/>
  <c r="L28" i="3"/>
  <c r="O28" i="3" s="1"/>
  <c r="L119" i="3"/>
  <c r="O119" i="3" s="1"/>
  <c r="L74" i="3"/>
  <c r="O74" i="3" s="1"/>
  <c r="L114" i="3"/>
  <c r="O114" i="3" s="1"/>
  <c r="L10" i="3"/>
  <c r="O10" i="3" s="1"/>
  <c r="L120" i="3"/>
  <c r="O120" i="3" s="1"/>
  <c r="U72" i="3"/>
  <c r="W72" i="3" s="1"/>
  <c r="U115" i="3"/>
  <c r="W115" i="3" s="1"/>
  <c r="U38" i="3"/>
  <c r="W38" i="3" s="1"/>
  <c r="L37" i="3"/>
  <c r="O37" i="3" s="1"/>
  <c r="L133" i="3"/>
  <c r="O133" i="3" s="1"/>
  <c r="L31" i="3"/>
  <c r="O31" i="3" s="1"/>
  <c r="L47" i="3"/>
  <c r="O47" i="3" s="1"/>
  <c r="L63" i="3"/>
  <c r="O63" i="3" s="1"/>
  <c r="L79" i="3"/>
  <c r="O79" i="3" s="1"/>
  <c r="L95" i="3"/>
  <c r="O95" i="3" s="1"/>
  <c r="L45" i="3"/>
  <c r="O45" i="3" s="1"/>
  <c r="L69" i="3"/>
  <c r="O69" i="3" s="1"/>
  <c r="L85" i="3"/>
  <c r="O85" i="3" s="1"/>
  <c r="L127" i="3"/>
  <c r="O127" i="3" s="1"/>
  <c r="L70" i="3"/>
  <c r="O70" i="3" s="1"/>
  <c r="L54" i="3"/>
  <c r="O54" i="3" s="1"/>
  <c r="L50" i="3"/>
  <c r="O50" i="3" s="1"/>
  <c r="L52" i="3"/>
  <c r="O52" i="3" s="1"/>
  <c r="L105" i="3"/>
  <c r="O105" i="3" s="1"/>
  <c r="L20" i="3"/>
  <c r="O20" i="3" s="1"/>
  <c r="L124" i="3"/>
  <c r="O124" i="3" s="1"/>
  <c r="L58" i="3"/>
  <c r="O58" i="3" s="1"/>
  <c r="L116" i="3"/>
  <c r="O116" i="3" s="1"/>
  <c r="L102" i="3"/>
  <c r="O102" i="3" s="1"/>
  <c r="L122" i="3"/>
  <c r="O122" i="3" s="1"/>
  <c r="L110" i="3"/>
  <c r="O110" i="3" s="1"/>
  <c r="L17" i="3"/>
  <c r="O17" i="3" s="1"/>
  <c r="L41" i="3"/>
  <c r="O41" i="3" s="1"/>
  <c r="L19" i="3"/>
  <c r="O19" i="3" s="1"/>
  <c r="L35" i="3"/>
  <c r="O35" i="3" s="1"/>
  <c r="L51" i="3"/>
  <c r="O51" i="3" s="1"/>
  <c r="L67" i="3"/>
  <c r="O67" i="3" s="1"/>
  <c r="L83" i="3"/>
  <c r="O83" i="3" s="1"/>
  <c r="L99" i="3"/>
  <c r="O99" i="3" s="1"/>
  <c r="L53" i="3"/>
  <c r="O53" i="3" s="1"/>
  <c r="L73" i="3"/>
  <c r="O73" i="3" s="1"/>
  <c r="L89" i="3"/>
  <c r="O89" i="3" s="1"/>
  <c r="L107" i="3"/>
  <c r="O107" i="3" s="1"/>
  <c r="L15" i="3"/>
  <c r="O15" i="3" s="1"/>
  <c r="L13" i="3"/>
  <c r="O13" i="3" s="1"/>
  <c r="L96" i="3"/>
  <c r="O96" i="3" s="1"/>
  <c r="L98" i="3"/>
  <c r="O98" i="3" s="1"/>
  <c r="L76" i="3"/>
  <c r="O76" i="3" s="1"/>
  <c r="L42" i="3"/>
  <c r="O42" i="3" s="1"/>
  <c r="L44" i="3"/>
  <c r="O44" i="3" s="1"/>
  <c r="L121" i="3"/>
  <c r="O121" i="3" s="1"/>
  <c r="L101" i="3"/>
  <c r="O101" i="3" s="1"/>
  <c r="L56" i="3"/>
  <c r="O56" i="3" s="1"/>
  <c r="L130" i="3"/>
  <c r="O130" i="3" s="1"/>
  <c r="L112" i="3"/>
  <c r="O112" i="3" s="1"/>
  <c r="U14" i="3"/>
  <c r="L128" i="3"/>
  <c r="O128" i="3" s="1"/>
  <c r="L108" i="3"/>
  <c r="O108" i="3" s="1"/>
  <c r="U80" i="3"/>
  <c r="W80" i="3" s="1"/>
  <c r="U125" i="3"/>
  <c r="W125" i="3" s="1"/>
  <c r="U22" i="3"/>
  <c r="W22" i="3" s="1"/>
  <c r="L25" i="3"/>
  <c r="O25" i="3" s="1"/>
  <c r="L49" i="3"/>
  <c r="O49" i="3" s="1"/>
  <c r="L23" i="3"/>
  <c r="O23" i="3" s="1"/>
  <c r="L39" i="3"/>
  <c r="O39" i="3" s="1"/>
  <c r="L55" i="3"/>
  <c r="O55" i="3" s="1"/>
  <c r="L71" i="3"/>
  <c r="O71" i="3" s="1"/>
  <c r="L87" i="3"/>
  <c r="O87" i="3" s="1"/>
  <c r="L21" i="3"/>
  <c r="O21" i="3" s="1"/>
  <c r="L61" i="3"/>
  <c r="O61" i="3" s="1"/>
  <c r="L77" i="3"/>
  <c r="O77" i="3" s="1"/>
  <c r="L93" i="3"/>
  <c r="O93" i="3" s="1"/>
  <c r="L123" i="3"/>
  <c r="O123" i="3" s="1"/>
  <c r="L88" i="3"/>
  <c r="O88" i="3" s="1"/>
  <c r="L90" i="3"/>
  <c r="O90" i="3" s="1"/>
  <c r="L62" i="3"/>
  <c r="O62" i="3" s="1"/>
  <c r="L68" i="3"/>
  <c r="O68" i="3" s="1"/>
  <c r="L34" i="3"/>
  <c r="O34" i="3" s="1"/>
  <c r="L36" i="3"/>
  <c r="O36" i="3" s="1"/>
  <c r="L117" i="3"/>
  <c r="O117" i="3" s="1"/>
  <c r="U16" i="3"/>
  <c r="J9" i="11"/>
  <c r="V46" i="3" l="1"/>
  <c r="V48" i="3"/>
  <c r="U26" i="3"/>
  <c r="W26" i="3" s="1"/>
  <c r="J19" i="11"/>
  <c r="Q61" i="3"/>
  <c r="S61" i="3" s="1"/>
  <c r="R61" i="3"/>
  <c r="T61" i="3" s="1"/>
  <c r="P61" i="3"/>
  <c r="V61" i="3" s="1"/>
  <c r="R108" i="3"/>
  <c r="T108" i="3" s="1"/>
  <c r="Q108" i="3"/>
  <c r="S108" i="3" s="1"/>
  <c r="P108" i="3"/>
  <c r="V108" i="3" s="1"/>
  <c r="Q121" i="3"/>
  <c r="S121" i="3" s="1"/>
  <c r="P121" i="3"/>
  <c r="V121" i="3" s="1"/>
  <c r="R121" i="3"/>
  <c r="T121" i="3" s="1"/>
  <c r="R107" i="3"/>
  <c r="T107" i="3" s="1"/>
  <c r="Q107" i="3"/>
  <c r="S107" i="3" s="1"/>
  <c r="P107" i="3"/>
  <c r="R110" i="3"/>
  <c r="T110" i="3" s="1"/>
  <c r="Q110" i="3"/>
  <c r="S110" i="3" s="1"/>
  <c r="P110" i="3"/>
  <c r="V110" i="3" s="1"/>
  <c r="R114" i="3"/>
  <c r="T114" i="3" s="1"/>
  <c r="Q114" i="3"/>
  <c r="S114" i="3" s="1"/>
  <c r="P114" i="3"/>
  <c r="V114" i="3" s="1"/>
  <c r="R28" i="3"/>
  <c r="T28" i="3" s="1"/>
  <c r="Q28" i="3"/>
  <c r="S28" i="3" s="1"/>
  <c r="P28" i="3"/>
  <c r="V28" i="3" s="1"/>
  <c r="R82" i="3"/>
  <c r="T82" i="3" s="1"/>
  <c r="P82" i="3"/>
  <c r="V82" i="3" s="1"/>
  <c r="Q82" i="3"/>
  <c r="S82" i="3" s="1"/>
  <c r="R91" i="3"/>
  <c r="T91" i="3" s="1"/>
  <c r="P91" i="3"/>
  <c r="V91" i="3" s="1"/>
  <c r="Q91" i="3"/>
  <c r="S91" i="3" s="1"/>
  <c r="R118" i="3"/>
  <c r="T118" i="3" s="1"/>
  <c r="Q118" i="3"/>
  <c r="S118" i="3" s="1"/>
  <c r="P118" i="3"/>
  <c r="V118" i="3" s="1"/>
  <c r="R68" i="3"/>
  <c r="T68" i="3" s="1"/>
  <c r="Q68" i="3"/>
  <c r="S68" i="3" s="1"/>
  <c r="P68" i="3"/>
  <c r="V68" i="3" s="1"/>
  <c r="R123" i="3"/>
  <c r="T123" i="3" s="1"/>
  <c r="Q123" i="3"/>
  <c r="S123" i="3" s="1"/>
  <c r="P123" i="3"/>
  <c r="V123" i="3" s="1"/>
  <c r="Q21" i="3"/>
  <c r="S21" i="3" s="1"/>
  <c r="R21" i="3"/>
  <c r="T21" i="3" s="1"/>
  <c r="P21" i="3"/>
  <c r="V21" i="3" s="1"/>
  <c r="Q39" i="3"/>
  <c r="S39" i="3" s="1"/>
  <c r="R39" i="3"/>
  <c r="T39" i="3" s="1"/>
  <c r="P39" i="3"/>
  <c r="R96" i="3"/>
  <c r="T96" i="3" s="1"/>
  <c r="Q96" i="3"/>
  <c r="S96" i="3" s="1"/>
  <c r="P96" i="3"/>
  <c r="V96" i="3" s="1"/>
  <c r="Q83" i="3"/>
  <c r="S83" i="3" s="1"/>
  <c r="P83" i="3"/>
  <c r="V83" i="3" s="1"/>
  <c r="R83" i="3"/>
  <c r="T83" i="3" s="1"/>
  <c r="Q19" i="3"/>
  <c r="S19" i="3" s="1"/>
  <c r="P19" i="3"/>
  <c r="V19" i="3" s="1"/>
  <c r="R19" i="3"/>
  <c r="T19" i="3" s="1"/>
  <c r="R124" i="3"/>
  <c r="T124" i="3" s="1"/>
  <c r="Q124" i="3"/>
  <c r="S124" i="3" s="1"/>
  <c r="P124" i="3"/>
  <c r="V124" i="3" s="1"/>
  <c r="R50" i="3"/>
  <c r="T50" i="3" s="1"/>
  <c r="P50" i="3"/>
  <c r="Q50" i="3"/>
  <c r="S50" i="3" s="1"/>
  <c r="Q85" i="3"/>
  <c r="S85" i="3" s="1"/>
  <c r="R85" i="3"/>
  <c r="T85" i="3" s="1"/>
  <c r="P85" i="3"/>
  <c r="V85" i="3" s="1"/>
  <c r="Q79" i="3"/>
  <c r="S79" i="3" s="1"/>
  <c r="R79" i="3"/>
  <c r="T79" i="3" s="1"/>
  <c r="P79" i="3"/>
  <c r="V79" i="3" s="1"/>
  <c r="R133" i="3"/>
  <c r="T133" i="3" s="1"/>
  <c r="Q133" i="3"/>
  <c r="S133" i="3" s="1"/>
  <c r="P133" i="3"/>
  <c r="V133" i="3" s="1"/>
  <c r="R26" i="3"/>
  <c r="T26" i="3" s="1"/>
  <c r="P26" i="3"/>
  <c r="V26" i="3" s="1"/>
  <c r="Q26" i="3"/>
  <c r="S26" i="3" s="1"/>
  <c r="R78" i="3"/>
  <c r="T78" i="3" s="1"/>
  <c r="Q78" i="3"/>
  <c r="S78" i="3" s="1"/>
  <c r="P78" i="3"/>
  <c r="V78" i="3" s="1"/>
  <c r="Q75" i="3"/>
  <c r="S75" i="3" s="1"/>
  <c r="R75" i="3"/>
  <c r="T75" i="3" s="1"/>
  <c r="P75" i="3"/>
  <c r="V75" i="3" s="1"/>
  <c r="Q57" i="3"/>
  <c r="S57" i="3" s="1"/>
  <c r="P57" i="3"/>
  <c r="V57" i="3" s="1"/>
  <c r="R57" i="3"/>
  <c r="T57" i="3" s="1"/>
  <c r="R126" i="3"/>
  <c r="T126" i="3" s="1"/>
  <c r="Q126" i="3"/>
  <c r="S126" i="3" s="1"/>
  <c r="P126" i="3"/>
  <c r="V126" i="3" s="1"/>
  <c r="R117" i="3"/>
  <c r="T117" i="3" s="1"/>
  <c r="Q117" i="3"/>
  <c r="S117" i="3" s="1"/>
  <c r="P117" i="3"/>
  <c r="V117" i="3" s="1"/>
  <c r="R62" i="3"/>
  <c r="T62" i="3" s="1"/>
  <c r="Q62" i="3"/>
  <c r="S62" i="3" s="1"/>
  <c r="P62" i="3"/>
  <c r="Q93" i="3"/>
  <c r="S93" i="3" s="1"/>
  <c r="R93" i="3"/>
  <c r="T93" i="3" s="1"/>
  <c r="P93" i="3"/>
  <c r="V93" i="3" s="1"/>
  <c r="R87" i="3"/>
  <c r="T87" i="3" s="1"/>
  <c r="P87" i="3"/>
  <c r="V87" i="3" s="1"/>
  <c r="Q87" i="3"/>
  <c r="S87" i="3" s="1"/>
  <c r="Q23" i="3"/>
  <c r="S23" i="3" s="1"/>
  <c r="R23" i="3"/>
  <c r="T23" i="3" s="1"/>
  <c r="P23" i="3"/>
  <c r="V23" i="3" s="1"/>
  <c r="G7" i="11"/>
  <c r="W14" i="3"/>
  <c r="R56" i="3"/>
  <c r="T56" i="3" s="1"/>
  <c r="Q56" i="3"/>
  <c r="S56" i="3" s="1"/>
  <c r="P56" i="3"/>
  <c r="V56" i="3" s="1"/>
  <c r="R42" i="3"/>
  <c r="T42" i="3" s="1"/>
  <c r="P42" i="3"/>
  <c r="Q42" i="3"/>
  <c r="S42" i="3" s="1"/>
  <c r="Q13" i="3"/>
  <c r="S13" i="3" s="1"/>
  <c r="R13" i="3"/>
  <c r="T13" i="3" s="1"/>
  <c r="P13" i="3"/>
  <c r="V13" i="3" s="1"/>
  <c r="Q73" i="3"/>
  <c r="S73" i="3" s="1"/>
  <c r="P73" i="3"/>
  <c r="V73" i="3" s="1"/>
  <c r="R73" i="3"/>
  <c r="T73" i="3" s="1"/>
  <c r="Q67" i="3"/>
  <c r="S67" i="3" s="1"/>
  <c r="P67" i="3"/>
  <c r="V67" i="3" s="1"/>
  <c r="R67" i="3"/>
  <c r="T67" i="3" s="1"/>
  <c r="Q41" i="3"/>
  <c r="S41" i="3" s="1"/>
  <c r="P41" i="3"/>
  <c r="R41" i="3"/>
  <c r="T41" i="3" s="1"/>
  <c r="R102" i="3"/>
  <c r="T102" i="3" s="1"/>
  <c r="P102" i="3"/>
  <c r="V102" i="3" s="1"/>
  <c r="Q102" i="3"/>
  <c r="S102" i="3" s="1"/>
  <c r="R20" i="3"/>
  <c r="T20" i="3" s="1"/>
  <c r="Q20" i="3"/>
  <c r="S20" i="3" s="1"/>
  <c r="P20" i="3"/>
  <c r="V20" i="3" s="1"/>
  <c r="R54" i="3"/>
  <c r="T54" i="3" s="1"/>
  <c r="Q54" i="3"/>
  <c r="S54" i="3" s="1"/>
  <c r="P54" i="3"/>
  <c r="V54" i="3" s="1"/>
  <c r="Q69" i="3"/>
  <c r="S69" i="3" s="1"/>
  <c r="R69" i="3"/>
  <c r="T69" i="3" s="1"/>
  <c r="P69" i="3"/>
  <c r="V69" i="3" s="1"/>
  <c r="Q63" i="3"/>
  <c r="S63" i="3" s="1"/>
  <c r="R63" i="3"/>
  <c r="T63" i="3" s="1"/>
  <c r="P63" i="3"/>
  <c r="Q37" i="3"/>
  <c r="S37" i="3" s="1"/>
  <c r="R37" i="3"/>
  <c r="T37" i="3" s="1"/>
  <c r="P37" i="3"/>
  <c r="V37" i="3" s="1"/>
  <c r="R120" i="3"/>
  <c r="T120" i="3" s="1"/>
  <c r="P120" i="3"/>
  <c r="V120" i="3" s="1"/>
  <c r="Q120" i="3"/>
  <c r="S120" i="3" s="1"/>
  <c r="R74" i="3"/>
  <c r="T74" i="3" s="1"/>
  <c r="P74" i="3"/>
  <c r="V74" i="3" s="1"/>
  <c r="Q74" i="3"/>
  <c r="S74" i="3" s="1"/>
  <c r="R60" i="3"/>
  <c r="T60" i="3" s="1"/>
  <c r="Q60" i="3"/>
  <c r="S60" i="3" s="1"/>
  <c r="P60" i="3"/>
  <c r="V60" i="3" s="1"/>
  <c r="R111" i="3"/>
  <c r="T111" i="3" s="1"/>
  <c r="P111" i="3"/>
  <c r="V111" i="3" s="1"/>
  <c r="Q111" i="3"/>
  <c r="S111" i="3" s="1"/>
  <c r="Q65" i="3"/>
  <c r="S65" i="3" s="1"/>
  <c r="P65" i="3"/>
  <c r="R65" i="3"/>
  <c r="T65" i="3" s="1"/>
  <c r="Q59" i="3"/>
  <c r="S59" i="3" s="1"/>
  <c r="R59" i="3"/>
  <c r="T59" i="3" s="1"/>
  <c r="P59" i="3"/>
  <c r="V59" i="3" s="1"/>
  <c r="Q29" i="3"/>
  <c r="S29" i="3" s="1"/>
  <c r="R29" i="3"/>
  <c r="T29" i="3" s="1"/>
  <c r="P29" i="3"/>
  <c r="V29" i="3" s="1"/>
  <c r="R106" i="3"/>
  <c r="T106" i="3" s="1"/>
  <c r="Q106" i="3"/>
  <c r="S106" i="3" s="1"/>
  <c r="P106" i="3"/>
  <c r="V106" i="3" s="1"/>
  <c r="R34" i="3"/>
  <c r="T34" i="3" s="1"/>
  <c r="P34" i="3"/>
  <c r="V34" i="3" s="1"/>
  <c r="Q34" i="3"/>
  <c r="S34" i="3" s="1"/>
  <c r="R88" i="3"/>
  <c r="T88" i="3" s="1"/>
  <c r="Q88" i="3"/>
  <c r="S88" i="3" s="1"/>
  <c r="P88" i="3"/>
  <c r="V88" i="3" s="1"/>
  <c r="Q55" i="3"/>
  <c r="S55" i="3" s="1"/>
  <c r="R55" i="3"/>
  <c r="T55" i="3" s="1"/>
  <c r="P55" i="3"/>
  <c r="Q25" i="3"/>
  <c r="S25" i="3" s="1"/>
  <c r="P25" i="3"/>
  <c r="V25" i="3" s="1"/>
  <c r="R25" i="3"/>
  <c r="T25" i="3" s="1"/>
  <c r="R130" i="3"/>
  <c r="T130" i="3" s="1"/>
  <c r="Q130" i="3"/>
  <c r="S130" i="3" s="1"/>
  <c r="P130" i="3"/>
  <c r="V130" i="3" s="1"/>
  <c r="R98" i="3"/>
  <c r="T98" i="3" s="1"/>
  <c r="P98" i="3"/>
  <c r="V98" i="3" s="1"/>
  <c r="Q98" i="3"/>
  <c r="S98" i="3" s="1"/>
  <c r="Q99" i="3"/>
  <c r="S99" i="3" s="1"/>
  <c r="P99" i="3"/>
  <c r="V99" i="3" s="1"/>
  <c r="R99" i="3"/>
  <c r="T99" i="3" s="1"/>
  <c r="Q35" i="3"/>
  <c r="S35" i="3" s="1"/>
  <c r="P35" i="3"/>
  <c r="V35" i="3" s="1"/>
  <c r="R35" i="3"/>
  <c r="T35" i="3" s="1"/>
  <c r="R58" i="3"/>
  <c r="T58" i="3" s="1"/>
  <c r="P58" i="3"/>
  <c r="V58" i="3" s="1"/>
  <c r="Q58" i="3"/>
  <c r="S58" i="3" s="1"/>
  <c r="R52" i="3"/>
  <c r="T52" i="3" s="1"/>
  <c r="Q52" i="3"/>
  <c r="S52" i="3" s="1"/>
  <c r="P52" i="3"/>
  <c r="V52" i="3" s="1"/>
  <c r="R127" i="3"/>
  <c r="T127" i="3" s="1"/>
  <c r="Q127" i="3"/>
  <c r="S127" i="3" s="1"/>
  <c r="P127" i="3"/>
  <c r="V127" i="3" s="1"/>
  <c r="R95" i="3"/>
  <c r="T95" i="3" s="1"/>
  <c r="Q95" i="3"/>
  <c r="S95" i="3" s="1"/>
  <c r="P95" i="3"/>
  <c r="V95" i="3" s="1"/>
  <c r="Q31" i="3"/>
  <c r="S31" i="3" s="1"/>
  <c r="R31" i="3"/>
  <c r="T31" i="3" s="1"/>
  <c r="P31" i="3"/>
  <c r="V31" i="3" s="1"/>
  <c r="Q97" i="3"/>
  <c r="S97" i="3" s="1"/>
  <c r="P97" i="3"/>
  <c r="V97" i="3" s="1"/>
  <c r="R97" i="3"/>
  <c r="T97" i="3" s="1"/>
  <c r="Q27" i="3"/>
  <c r="S27" i="3" s="1"/>
  <c r="R27" i="3"/>
  <c r="T27" i="3" s="1"/>
  <c r="P27" i="3"/>
  <c r="V27" i="3" s="1"/>
  <c r="G9" i="11"/>
  <c r="W16" i="3"/>
  <c r="R128" i="3"/>
  <c r="T128" i="3" s="1"/>
  <c r="P128" i="3"/>
  <c r="V128" i="3" s="1"/>
  <c r="Q128" i="3"/>
  <c r="S128" i="3" s="1"/>
  <c r="R44" i="3"/>
  <c r="T44" i="3" s="1"/>
  <c r="Q44" i="3"/>
  <c r="S44" i="3" s="1"/>
  <c r="P44" i="3"/>
  <c r="Q89" i="3"/>
  <c r="S89" i="3" s="1"/>
  <c r="P89" i="3"/>
  <c r="V89" i="3" s="1"/>
  <c r="R89" i="3"/>
  <c r="T89" i="3" s="1"/>
  <c r="R122" i="3"/>
  <c r="T122" i="3" s="1"/>
  <c r="Q122" i="3"/>
  <c r="S122" i="3" s="1"/>
  <c r="P122" i="3"/>
  <c r="V122" i="3" s="1"/>
  <c r="Q81" i="3"/>
  <c r="S81" i="3" s="1"/>
  <c r="P81" i="3"/>
  <c r="V81" i="3" s="1"/>
  <c r="R81" i="3"/>
  <c r="T81" i="3" s="1"/>
  <c r="R36" i="3"/>
  <c r="T36" i="3" s="1"/>
  <c r="Q36" i="3"/>
  <c r="S36" i="3" s="1"/>
  <c r="P36" i="3"/>
  <c r="V36" i="3" s="1"/>
  <c r="R90" i="3"/>
  <c r="T90" i="3" s="1"/>
  <c r="Q90" i="3"/>
  <c r="S90" i="3" s="1"/>
  <c r="P90" i="3"/>
  <c r="V90" i="3" s="1"/>
  <c r="Q77" i="3"/>
  <c r="S77" i="3" s="1"/>
  <c r="R77" i="3"/>
  <c r="T77" i="3" s="1"/>
  <c r="P77" i="3"/>
  <c r="V77" i="3" s="1"/>
  <c r="Q71" i="3"/>
  <c r="S71" i="3" s="1"/>
  <c r="R71" i="3"/>
  <c r="T71" i="3" s="1"/>
  <c r="P71" i="3"/>
  <c r="V71" i="3" s="1"/>
  <c r="Q49" i="3"/>
  <c r="S49" i="3" s="1"/>
  <c r="P49" i="3"/>
  <c r="R49" i="3"/>
  <c r="T49" i="3" s="1"/>
  <c r="R112" i="3"/>
  <c r="T112" i="3" s="1"/>
  <c r="P112" i="3"/>
  <c r="V112" i="3" s="1"/>
  <c r="Q112" i="3"/>
  <c r="S112" i="3" s="1"/>
  <c r="Q101" i="3"/>
  <c r="S101" i="3" s="1"/>
  <c r="R101" i="3"/>
  <c r="T101" i="3" s="1"/>
  <c r="P101" i="3"/>
  <c r="V101" i="3" s="1"/>
  <c r="R76" i="3"/>
  <c r="T76" i="3" s="1"/>
  <c r="Q76" i="3"/>
  <c r="S76" i="3" s="1"/>
  <c r="P76" i="3"/>
  <c r="V76" i="3" s="1"/>
  <c r="Q15" i="3"/>
  <c r="S15" i="3" s="1"/>
  <c r="R15" i="3"/>
  <c r="P15" i="3"/>
  <c r="Q53" i="3"/>
  <c r="S53" i="3" s="1"/>
  <c r="R53" i="3"/>
  <c r="T53" i="3" s="1"/>
  <c r="P53" i="3"/>
  <c r="V53" i="3" s="1"/>
  <c r="Q51" i="3"/>
  <c r="S51" i="3" s="1"/>
  <c r="P51" i="3"/>
  <c r="V51" i="3" s="1"/>
  <c r="R51" i="3"/>
  <c r="T51" i="3" s="1"/>
  <c r="Q17" i="3"/>
  <c r="P17" i="3"/>
  <c r="V17" i="3" s="1"/>
  <c r="R17" i="3"/>
  <c r="R116" i="3"/>
  <c r="T116" i="3" s="1"/>
  <c r="Q116" i="3"/>
  <c r="S116" i="3" s="1"/>
  <c r="P116" i="3"/>
  <c r="V116" i="3" s="1"/>
  <c r="Q105" i="3"/>
  <c r="S105" i="3" s="1"/>
  <c r="P105" i="3"/>
  <c r="V105" i="3" s="1"/>
  <c r="R105" i="3"/>
  <c r="T105" i="3" s="1"/>
  <c r="R70" i="3"/>
  <c r="T70" i="3" s="1"/>
  <c r="Q70" i="3"/>
  <c r="S70" i="3" s="1"/>
  <c r="P70" i="3"/>
  <c r="V70" i="3" s="1"/>
  <c r="Q45" i="3"/>
  <c r="S45" i="3" s="1"/>
  <c r="R45" i="3"/>
  <c r="T45" i="3" s="1"/>
  <c r="P45" i="3"/>
  <c r="Q47" i="3"/>
  <c r="S47" i="3" s="1"/>
  <c r="R47" i="3"/>
  <c r="T47" i="3" s="1"/>
  <c r="P47" i="3"/>
  <c r="R119" i="3"/>
  <c r="T119" i="3" s="1"/>
  <c r="Q119" i="3"/>
  <c r="S119" i="3" s="1"/>
  <c r="P119" i="3"/>
  <c r="V119" i="3" s="1"/>
  <c r="R66" i="3"/>
  <c r="T66" i="3" s="1"/>
  <c r="P66" i="3"/>
  <c r="Q66" i="3"/>
  <c r="S66" i="3" s="1"/>
  <c r="Q131" i="3"/>
  <c r="S131" i="3" s="1"/>
  <c r="P131" i="3"/>
  <c r="V131" i="3" s="1"/>
  <c r="R131" i="3"/>
  <c r="T131" i="3" s="1"/>
  <c r="Q33" i="3"/>
  <c r="S33" i="3" s="1"/>
  <c r="P33" i="3"/>
  <c r="V33" i="3" s="1"/>
  <c r="R33" i="3"/>
  <c r="T33" i="3" s="1"/>
  <c r="Q43" i="3"/>
  <c r="S43" i="3" s="1"/>
  <c r="R43" i="3"/>
  <c r="T43" i="3" s="1"/>
  <c r="P43" i="3"/>
  <c r="R104" i="3"/>
  <c r="T104" i="3" s="1"/>
  <c r="Q104" i="3"/>
  <c r="S104" i="3" s="1"/>
  <c r="P104" i="3"/>
  <c r="V104" i="3" s="1"/>
  <c r="R132" i="3"/>
  <c r="T132" i="3" s="1"/>
  <c r="Q132" i="3"/>
  <c r="S132" i="3" s="1"/>
  <c r="P132" i="3"/>
  <c r="V132" i="3" s="1"/>
  <c r="J4" i="11"/>
  <c r="E3" i="11"/>
  <c r="N131" i="3"/>
  <c r="N33" i="3"/>
  <c r="N43" i="3"/>
  <c r="N83" i="3"/>
  <c r="N52" i="3"/>
  <c r="N127" i="3"/>
  <c r="N27" i="3"/>
  <c r="N99" i="3"/>
  <c r="N35" i="3"/>
  <c r="N108" i="3"/>
  <c r="N67" i="3"/>
  <c r="N133" i="3"/>
  <c r="N81" i="3"/>
  <c r="N128" i="3"/>
  <c r="N54" i="3"/>
  <c r="N69" i="3"/>
  <c r="N63" i="3"/>
  <c r="G73" i="11"/>
  <c r="G31" i="11"/>
  <c r="G79" i="11"/>
  <c r="G23" i="11"/>
  <c r="G57" i="11"/>
  <c r="G106" i="11"/>
  <c r="G41" i="11"/>
  <c r="G39" i="11"/>
  <c r="G96" i="11"/>
  <c r="G122" i="11"/>
  <c r="G33" i="11"/>
  <c r="X18" i="3"/>
  <c r="H11" i="11" s="1"/>
  <c r="G15" i="11"/>
  <c r="G65" i="11"/>
  <c r="G77" i="11"/>
  <c r="G102" i="11"/>
  <c r="G108" i="11"/>
  <c r="G118" i="11"/>
  <c r="G25" i="11"/>
  <c r="G17" i="11"/>
  <c r="G85" i="11"/>
  <c r="G87" i="11"/>
  <c r="G93" i="11"/>
  <c r="N15" i="3"/>
  <c r="N19" i="3"/>
  <c r="N23" i="3"/>
  <c r="U23" i="3"/>
  <c r="W23" i="3" s="1"/>
  <c r="N20" i="3"/>
  <c r="V40" i="3"/>
  <c r="N13" i="3"/>
  <c r="J6" i="11"/>
  <c r="E69" i="11"/>
  <c r="N76" i="3"/>
  <c r="E71" i="11"/>
  <c r="N78" i="3"/>
  <c r="E48" i="11"/>
  <c r="N55" i="3"/>
  <c r="U122" i="3"/>
  <c r="W122" i="3" s="1"/>
  <c r="N122" i="3"/>
  <c r="N68" i="3"/>
  <c r="U123" i="3"/>
  <c r="W123" i="3" s="1"/>
  <c r="N123" i="3"/>
  <c r="E14" i="11"/>
  <c r="N21" i="3"/>
  <c r="N39" i="3"/>
  <c r="E49" i="11"/>
  <c r="N56" i="3"/>
  <c r="E35" i="11"/>
  <c r="N42" i="3"/>
  <c r="N73" i="3"/>
  <c r="N41" i="3"/>
  <c r="U102" i="3"/>
  <c r="W102" i="3" s="1"/>
  <c r="N102" i="3"/>
  <c r="U124" i="3"/>
  <c r="W124" i="3" s="1"/>
  <c r="N124" i="3"/>
  <c r="E43" i="11"/>
  <c r="N50" i="3"/>
  <c r="E5" i="11"/>
  <c r="N95" i="3"/>
  <c r="N31" i="3"/>
  <c r="U114" i="3"/>
  <c r="W114" i="3" s="1"/>
  <c r="N114" i="3"/>
  <c r="E21" i="11"/>
  <c r="N28" i="3"/>
  <c r="E75" i="11"/>
  <c r="N82" i="3"/>
  <c r="E90" i="11"/>
  <c r="N97" i="3"/>
  <c r="N91" i="3"/>
  <c r="N118" i="3"/>
  <c r="E86" i="11"/>
  <c r="N93" i="3"/>
  <c r="E94" i="11"/>
  <c r="N101" i="3"/>
  <c r="E46" i="11"/>
  <c r="N53" i="3"/>
  <c r="U116" i="3"/>
  <c r="W116" i="3" s="1"/>
  <c r="N116" i="3"/>
  <c r="E19" i="11"/>
  <c r="N26" i="3"/>
  <c r="N75" i="3"/>
  <c r="N36" i="3"/>
  <c r="E83" i="11"/>
  <c r="N90" i="3"/>
  <c r="N77" i="3"/>
  <c r="E64" i="11"/>
  <c r="N71" i="3"/>
  <c r="E42" i="11"/>
  <c r="N49" i="3"/>
  <c r="N112" i="3"/>
  <c r="E114" i="11"/>
  <c r="N121" i="3"/>
  <c r="E91" i="11"/>
  <c r="N98" i="3"/>
  <c r="N107" i="3"/>
  <c r="U110" i="3"/>
  <c r="W110" i="3" s="1"/>
  <c r="N110" i="3"/>
  <c r="E98" i="11"/>
  <c r="N105" i="3"/>
  <c r="N70" i="3"/>
  <c r="N37" i="3"/>
  <c r="N120" i="3"/>
  <c r="E67" i="11"/>
  <c r="N74" i="3"/>
  <c r="E53" i="11"/>
  <c r="N60" i="3"/>
  <c r="E104" i="11"/>
  <c r="N111" i="3"/>
  <c r="E58" i="11"/>
  <c r="N65" i="3"/>
  <c r="N59" i="3"/>
  <c r="N29" i="3"/>
  <c r="U106" i="3"/>
  <c r="W106" i="3" s="1"/>
  <c r="N106" i="3"/>
  <c r="E110" i="11"/>
  <c r="N117" i="3"/>
  <c r="E55" i="11"/>
  <c r="N62" i="3"/>
  <c r="E80" i="11"/>
  <c r="N87" i="3"/>
  <c r="E44" i="11"/>
  <c r="N51" i="3"/>
  <c r="E10" i="11"/>
  <c r="N17" i="3"/>
  <c r="N85" i="3"/>
  <c r="N79" i="3"/>
  <c r="N57" i="3"/>
  <c r="U126" i="3"/>
  <c r="W126" i="3" s="1"/>
  <c r="N126" i="3"/>
  <c r="E27" i="11"/>
  <c r="N34" i="3"/>
  <c r="E81" i="11"/>
  <c r="N88" i="3"/>
  <c r="E54" i="11"/>
  <c r="N61" i="3"/>
  <c r="E18" i="11"/>
  <c r="N25" i="3"/>
  <c r="E123" i="11"/>
  <c r="N130" i="3"/>
  <c r="E37" i="11"/>
  <c r="N44" i="3"/>
  <c r="E89" i="11"/>
  <c r="N96" i="3"/>
  <c r="N89" i="3"/>
  <c r="N58" i="3"/>
  <c r="N45" i="3"/>
  <c r="N47" i="3"/>
  <c r="E112" i="11"/>
  <c r="N119" i="3"/>
  <c r="E59" i="11"/>
  <c r="N66" i="3"/>
  <c r="U104" i="3"/>
  <c r="W104" i="3" s="1"/>
  <c r="N104" i="3"/>
  <c r="U132" i="3"/>
  <c r="N132" i="3"/>
  <c r="X40" i="3"/>
  <c r="H33" i="11" s="1"/>
  <c r="E6" i="11"/>
  <c r="E16" i="11"/>
  <c r="J3" i="11"/>
  <c r="G11" i="11"/>
  <c r="U20" i="3"/>
  <c r="W20" i="3" s="1"/>
  <c r="E8" i="11"/>
  <c r="X109" i="3"/>
  <c r="H102" i="11" s="1"/>
  <c r="X30" i="3"/>
  <c r="H23" i="11" s="1"/>
  <c r="X24" i="3"/>
  <c r="H17" i="11" s="1"/>
  <c r="X64" i="3"/>
  <c r="H57" i="11" s="1"/>
  <c r="X92" i="3"/>
  <c r="H85" i="11" s="1"/>
  <c r="X100" i="3"/>
  <c r="H93" i="11" s="1"/>
  <c r="X48" i="3"/>
  <c r="H41" i="11" s="1"/>
  <c r="X32" i="3"/>
  <c r="H25" i="11" s="1"/>
  <c r="U62" i="3"/>
  <c r="W62" i="3" s="1"/>
  <c r="X115" i="3"/>
  <c r="H108" i="11" s="1"/>
  <c r="X113" i="3"/>
  <c r="H106" i="11" s="1"/>
  <c r="X38" i="3"/>
  <c r="H31" i="11" s="1"/>
  <c r="X103" i="3"/>
  <c r="H96" i="11" s="1"/>
  <c r="V64" i="3"/>
  <c r="U130" i="3"/>
  <c r="W130" i="3" s="1"/>
  <c r="X94" i="3"/>
  <c r="H87" i="11" s="1"/>
  <c r="X84" i="3"/>
  <c r="H77" i="11" s="1"/>
  <c r="E13" i="11"/>
  <c r="E78" i="11"/>
  <c r="E36" i="11"/>
  <c r="E101" i="11"/>
  <c r="E100" i="11"/>
  <c r="E92" i="11"/>
  <c r="E28" i="11"/>
  <c r="E103" i="11"/>
  <c r="E4" i="11"/>
  <c r="E63" i="11"/>
  <c r="E62" i="11"/>
  <c r="E56" i="11"/>
  <c r="E30" i="11"/>
  <c r="E84" i="11"/>
  <c r="E20" i="11"/>
  <c r="E111" i="11"/>
  <c r="X129" i="3"/>
  <c r="H122" i="11" s="1"/>
  <c r="X86" i="3"/>
  <c r="H79" i="11" s="1"/>
  <c r="U118" i="3"/>
  <c r="W118" i="3" s="1"/>
  <c r="E61" i="11"/>
  <c r="E116" i="11"/>
  <c r="E32" i="11"/>
  <c r="E121" i="11"/>
  <c r="E82" i="11"/>
  <c r="E76" i="11"/>
  <c r="E12" i="11"/>
  <c r="E115" i="11"/>
  <c r="E51" i="11"/>
  <c r="E45" i="11"/>
  <c r="E120" i="11"/>
  <c r="E38" i="11"/>
  <c r="E40" i="11"/>
  <c r="U120" i="3"/>
  <c r="W120" i="3" s="1"/>
  <c r="E113" i="11"/>
  <c r="E74" i="11"/>
  <c r="E68" i="11"/>
  <c r="E50" i="11"/>
  <c r="E119" i="11"/>
  <c r="E29" i="11"/>
  <c r="E70" i="11"/>
  <c r="E105" i="11"/>
  <c r="E109" i="11"/>
  <c r="E47" i="11"/>
  <c r="E72" i="11"/>
  <c r="E126" i="11"/>
  <c r="E107" i="11"/>
  <c r="E124" i="11"/>
  <c r="E26" i="11"/>
  <c r="E97" i="11"/>
  <c r="E125" i="11"/>
  <c r="X46" i="3"/>
  <c r="H39" i="11" s="1"/>
  <c r="E66" i="11"/>
  <c r="E60" i="11"/>
  <c r="E34" i="11"/>
  <c r="E95" i="11"/>
  <c r="E117" i="11"/>
  <c r="E88" i="11"/>
  <c r="E24" i="11"/>
  <c r="E52" i="11"/>
  <c r="E22" i="11"/>
  <c r="E99" i="11"/>
  <c r="U108" i="3"/>
  <c r="W108" i="3" s="1"/>
  <c r="U128" i="3"/>
  <c r="W128" i="3" s="1"/>
  <c r="U41" i="3"/>
  <c r="W41" i="3" s="1"/>
  <c r="X22" i="3"/>
  <c r="H15" i="11" s="1"/>
  <c r="X80" i="3"/>
  <c r="H73" i="11" s="1"/>
  <c r="U11" i="3"/>
  <c r="G4" i="11" s="1"/>
  <c r="U54" i="3"/>
  <c r="W54" i="3" s="1"/>
  <c r="U117" i="3"/>
  <c r="W117" i="3" s="1"/>
  <c r="J110" i="11"/>
  <c r="U34" i="3"/>
  <c r="W34" i="3" s="1"/>
  <c r="J27" i="11"/>
  <c r="J55" i="11"/>
  <c r="U88" i="3"/>
  <c r="W88" i="3" s="1"/>
  <c r="J81" i="11"/>
  <c r="U93" i="3"/>
  <c r="W93" i="3" s="1"/>
  <c r="J86" i="11"/>
  <c r="U61" i="3"/>
  <c r="W61" i="3" s="1"/>
  <c r="J54" i="11"/>
  <c r="U87" i="3"/>
  <c r="W87" i="3" s="1"/>
  <c r="J80" i="11"/>
  <c r="U55" i="3"/>
  <c r="W55" i="3" s="1"/>
  <c r="J48" i="11"/>
  <c r="J16" i="11"/>
  <c r="J18" i="11"/>
  <c r="X14" i="3"/>
  <c r="H7" i="11" s="1"/>
  <c r="J123" i="11"/>
  <c r="U25" i="3"/>
  <c r="W25" i="3" s="1"/>
  <c r="J101" i="11"/>
  <c r="J94" i="11"/>
  <c r="U101" i="3"/>
  <c r="W101" i="3" s="1"/>
  <c r="J37" i="11"/>
  <c r="U44" i="3"/>
  <c r="W44" i="3" s="1"/>
  <c r="J69" i="11"/>
  <c r="U76" i="3"/>
  <c r="W76" i="3" s="1"/>
  <c r="J89" i="11"/>
  <c r="U96" i="3"/>
  <c r="W96" i="3" s="1"/>
  <c r="U15" i="3"/>
  <c r="J8" i="11"/>
  <c r="U89" i="3"/>
  <c r="W89" i="3" s="1"/>
  <c r="J82" i="11"/>
  <c r="U53" i="3"/>
  <c r="W53" i="3" s="1"/>
  <c r="J46" i="11"/>
  <c r="J76" i="11"/>
  <c r="U83" i="3"/>
  <c r="W83" i="3" s="1"/>
  <c r="J44" i="11"/>
  <c r="U51" i="3"/>
  <c r="W51" i="3" s="1"/>
  <c r="U19" i="3"/>
  <c r="W19" i="3" s="1"/>
  <c r="J12" i="11"/>
  <c r="U17" i="3"/>
  <c r="W17" i="3" s="1"/>
  <c r="J10" i="11"/>
  <c r="J115" i="11"/>
  <c r="J109" i="11"/>
  <c r="U58" i="3"/>
  <c r="W58" i="3" s="1"/>
  <c r="J51" i="11"/>
  <c r="J13" i="11"/>
  <c r="U52" i="3"/>
  <c r="W52" i="3" s="1"/>
  <c r="J45" i="11"/>
  <c r="J47" i="11"/>
  <c r="U127" i="3"/>
  <c r="W127" i="3" s="1"/>
  <c r="J120" i="11"/>
  <c r="U85" i="3"/>
  <c r="W85" i="3" s="1"/>
  <c r="J78" i="11"/>
  <c r="J38" i="11"/>
  <c r="U45" i="3"/>
  <c r="W45" i="3" s="1"/>
  <c r="U79" i="3"/>
  <c r="W79" i="3" s="1"/>
  <c r="J72" i="11"/>
  <c r="U47" i="3"/>
  <c r="W47" i="3" s="1"/>
  <c r="J40" i="11"/>
  <c r="U133" i="3"/>
  <c r="J126" i="11"/>
  <c r="J113" i="11"/>
  <c r="J107" i="11"/>
  <c r="J67" i="11"/>
  <c r="U74" i="3"/>
  <c r="W74" i="3" s="1"/>
  <c r="J21" i="11"/>
  <c r="U28" i="3"/>
  <c r="W28" i="3" s="1"/>
  <c r="J53" i="11"/>
  <c r="U60" i="3"/>
  <c r="W60" i="3" s="1"/>
  <c r="J75" i="11"/>
  <c r="U82" i="3"/>
  <c r="W82" i="3" s="1"/>
  <c r="J104" i="11"/>
  <c r="U111" i="3"/>
  <c r="W111" i="3" s="1"/>
  <c r="J90" i="11"/>
  <c r="U97" i="3"/>
  <c r="W97" i="3" s="1"/>
  <c r="J58" i="11"/>
  <c r="U65" i="3"/>
  <c r="W65" i="3" s="1"/>
  <c r="J84" i="11"/>
  <c r="U91" i="3"/>
  <c r="W91" i="3" s="1"/>
  <c r="J52" i="11"/>
  <c r="U59" i="3"/>
  <c r="W59" i="3" s="1"/>
  <c r="J20" i="11"/>
  <c r="U27" i="3"/>
  <c r="W27" i="3" s="1"/>
  <c r="U29" i="3"/>
  <c r="W29" i="3" s="1"/>
  <c r="J22" i="11"/>
  <c r="J111" i="11"/>
  <c r="J99" i="11"/>
  <c r="X16" i="3"/>
  <c r="H9" i="11" s="1"/>
  <c r="U36" i="3"/>
  <c r="W36" i="3" s="1"/>
  <c r="J29" i="11"/>
  <c r="U68" i="3"/>
  <c r="W68" i="3" s="1"/>
  <c r="J61" i="11"/>
  <c r="U90" i="3"/>
  <c r="W90" i="3" s="1"/>
  <c r="J83" i="11"/>
  <c r="J116" i="11"/>
  <c r="U77" i="3"/>
  <c r="W77" i="3" s="1"/>
  <c r="J70" i="11"/>
  <c r="U21" i="3"/>
  <c r="W21" i="3" s="1"/>
  <c r="J14" i="11"/>
  <c r="U71" i="3"/>
  <c r="W71" i="3" s="1"/>
  <c r="J64" i="11"/>
  <c r="U39" i="3"/>
  <c r="W39" i="3" s="1"/>
  <c r="J32" i="11"/>
  <c r="J42" i="11"/>
  <c r="J105" i="11"/>
  <c r="X125" i="3"/>
  <c r="H118" i="11" s="1"/>
  <c r="X72" i="3"/>
  <c r="H65" i="11" s="1"/>
  <c r="U112" i="3"/>
  <c r="W112" i="3" s="1"/>
  <c r="U49" i="3"/>
  <c r="W49" i="3" s="1"/>
  <c r="J121" i="11"/>
  <c r="J49" i="11"/>
  <c r="U56" i="3"/>
  <c r="W56" i="3" s="1"/>
  <c r="J114" i="11"/>
  <c r="U121" i="3"/>
  <c r="W121" i="3" s="1"/>
  <c r="J35" i="11"/>
  <c r="U42" i="3"/>
  <c r="W42" i="3" s="1"/>
  <c r="J91" i="11"/>
  <c r="U98" i="3"/>
  <c r="W98" i="3" s="1"/>
  <c r="U13" i="3"/>
  <c r="W13" i="3" s="1"/>
  <c r="J100" i="11"/>
  <c r="U107" i="3"/>
  <c r="W107" i="3" s="1"/>
  <c r="U73" i="3"/>
  <c r="W73" i="3" s="1"/>
  <c r="J66" i="11"/>
  <c r="J92" i="11"/>
  <c r="U99" i="3"/>
  <c r="W99" i="3" s="1"/>
  <c r="J60" i="11"/>
  <c r="U67" i="3"/>
  <c r="W67" i="3" s="1"/>
  <c r="J28" i="11"/>
  <c r="U35" i="3"/>
  <c r="W35" i="3" s="1"/>
  <c r="J34" i="11"/>
  <c r="J103" i="11"/>
  <c r="J95" i="11"/>
  <c r="J117" i="11"/>
  <c r="U105" i="3"/>
  <c r="W105" i="3" s="1"/>
  <c r="J98" i="11"/>
  <c r="U50" i="3"/>
  <c r="W50" i="3" s="1"/>
  <c r="J43" i="11"/>
  <c r="J63" i="11"/>
  <c r="U70" i="3"/>
  <c r="W70" i="3" s="1"/>
  <c r="U12" i="3"/>
  <c r="W12" i="3" s="1"/>
  <c r="J5" i="11"/>
  <c r="U69" i="3"/>
  <c r="W69" i="3" s="1"/>
  <c r="J62" i="11"/>
  <c r="U95" i="3"/>
  <c r="W95" i="3" s="1"/>
  <c r="J88" i="11"/>
  <c r="U63" i="3"/>
  <c r="W63" i="3" s="1"/>
  <c r="J56" i="11"/>
  <c r="U31" i="3"/>
  <c r="W31" i="3" s="1"/>
  <c r="J24" i="11"/>
  <c r="U37" i="3"/>
  <c r="W37" i="3" s="1"/>
  <c r="J30" i="11"/>
  <c r="U10" i="3"/>
  <c r="G3" i="11" s="1"/>
  <c r="J112" i="11"/>
  <c r="U119" i="3"/>
  <c r="W119" i="3" s="1"/>
  <c r="J59" i="11"/>
  <c r="U66" i="3"/>
  <c r="W66" i="3" s="1"/>
  <c r="J71" i="11"/>
  <c r="U78" i="3"/>
  <c r="W78" i="3" s="1"/>
  <c r="J124" i="11"/>
  <c r="U131" i="3"/>
  <c r="W131" i="3" s="1"/>
  <c r="J74" i="11"/>
  <c r="U81" i="3"/>
  <c r="W81" i="3" s="1"/>
  <c r="J26" i="11"/>
  <c r="U33" i="3"/>
  <c r="W33" i="3" s="1"/>
  <c r="J68" i="11"/>
  <c r="U75" i="3"/>
  <c r="W75" i="3" s="1"/>
  <c r="J36" i="11"/>
  <c r="U43" i="3"/>
  <c r="W43" i="3" s="1"/>
  <c r="U57" i="3"/>
  <c r="W57" i="3" s="1"/>
  <c r="J50" i="11"/>
  <c r="J97" i="11"/>
  <c r="J119" i="11"/>
  <c r="J125" i="11"/>
  <c r="V50" i="3" l="1"/>
  <c r="V49" i="3"/>
  <c r="V39" i="3"/>
  <c r="T15" i="7"/>
  <c r="T16" i="7"/>
  <c r="T15" i="3"/>
  <c r="R6" i="3"/>
  <c r="I9" i="7" s="1"/>
  <c r="L6" i="3"/>
  <c r="G8" i="11"/>
  <c r="W15" i="3"/>
  <c r="G126" i="11"/>
  <c r="W133" i="3"/>
  <c r="G125" i="11"/>
  <c r="W132" i="3"/>
  <c r="T17" i="3"/>
  <c r="G24" i="11"/>
  <c r="G60" i="11"/>
  <c r="G91" i="11"/>
  <c r="G35" i="11"/>
  <c r="G105" i="11"/>
  <c r="G32" i="11"/>
  <c r="G70" i="11"/>
  <c r="G22" i="11"/>
  <c r="G21" i="11"/>
  <c r="G67" i="11"/>
  <c r="G46" i="11"/>
  <c r="G121" i="11"/>
  <c r="G13" i="11"/>
  <c r="G117" i="11"/>
  <c r="G116" i="11"/>
  <c r="G115" i="11"/>
  <c r="G16" i="11"/>
  <c r="G50" i="11"/>
  <c r="G71" i="11"/>
  <c r="G59" i="11"/>
  <c r="G112" i="11"/>
  <c r="G63" i="11"/>
  <c r="G98" i="11"/>
  <c r="G66" i="11"/>
  <c r="G14" i="11"/>
  <c r="G52" i="11"/>
  <c r="G10" i="11"/>
  <c r="G69" i="11"/>
  <c r="G81" i="11"/>
  <c r="G110" i="11"/>
  <c r="G101" i="11"/>
  <c r="G113" i="11"/>
  <c r="G97" i="11"/>
  <c r="G119" i="11"/>
  <c r="G103" i="11"/>
  <c r="G109" i="11"/>
  <c r="G88" i="11"/>
  <c r="G78" i="11"/>
  <c r="G54" i="11"/>
  <c r="G68" i="11"/>
  <c r="G74" i="11"/>
  <c r="G124" i="11"/>
  <c r="G30" i="11"/>
  <c r="G56" i="11"/>
  <c r="G62" i="11"/>
  <c r="G43" i="11"/>
  <c r="G49" i="11"/>
  <c r="G29" i="11"/>
  <c r="G90" i="11"/>
  <c r="G120" i="11"/>
  <c r="G44" i="11"/>
  <c r="G37" i="11"/>
  <c r="G18" i="11"/>
  <c r="G80" i="11"/>
  <c r="G86" i="11"/>
  <c r="G27" i="11"/>
  <c r="G95" i="11"/>
  <c r="G26" i="11"/>
  <c r="G83" i="11"/>
  <c r="G75" i="11"/>
  <c r="G28" i="11"/>
  <c r="G92" i="11"/>
  <c r="G100" i="11"/>
  <c r="G114" i="11"/>
  <c r="G42" i="11"/>
  <c r="G64" i="11"/>
  <c r="G61" i="11"/>
  <c r="G84" i="11"/>
  <c r="G104" i="11"/>
  <c r="G53" i="11"/>
  <c r="G72" i="11"/>
  <c r="G45" i="11"/>
  <c r="G51" i="11"/>
  <c r="G76" i="11"/>
  <c r="G82" i="11"/>
  <c r="G89" i="11"/>
  <c r="G94" i="11"/>
  <c r="G47" i="11"/>
  <c r="G111" i="11"/>
  <c r="G123" i="11"/>
  <c r="G99" i="11"/>
  <c r="G107" i="11"/>
  <c r="V41" i="3"/>
  <c r="V42" i="3"/>
  <c r="G20" i="11"/>
  <c r="X27" i="3"/>
  <c r="H20" i="11" s="1"/>
  <c r="G19" i="11"/>
  <c r="X124" i="3"/>
  <c r="H117" i="11" s="1"/>
  <c r="X102" i="3"/>
  <c r="H95" i="11" s="1"/>
  <c r="X132" i="3"/>
  <c r="H125" i="11" s="1"/>
  <c r="X114" i="3"/>
  <c r="H107" i="11" s="1"/>
  <c r="X106" i="3"/>
  <c r="H99" i="11" s="1"/>
  <c r="X126" i="3"/>
  <c r="H119" i="11" s="1"/>
  <c r="X110" i="3"/>
  <c r="H103" i="11" s="1"/>
  <c r="X123" i="3"/>
  <c r="H116" i="11" s="1"/>
  <c r="X116" i="3"/>
  <c r="H109" i="11" s="1"/>
  <c r="X122" i="3"/>
  <c r="H115" i="11" s="1"/>
  <c r="X104" i="3"/>
  <c r="H97" i="11" s="1"/>
  <c r="X12" i="3"/>
  <c r="H5" i="11" s="1"/>
  <c r="K6" i="3"/>
  <c r="J2" i="8" s="1"/>
  <c r="V15" i="3"/>
  <c r="S17" i="3"/>
  <c r="P6" i="3" s="1"/>
  <c r="V107" i="3"/>
  <c r="G6" i="11"/>
  <c r="X13" i="3"/>
  <c r="H6" i="11" s="1"/>
  <c r="G12" i="11"/>
  <c r="X25" i="3"/>
  <c r="H18" i="11" s="1"/>
  <c r="V62" i="3"/>
  <c r="G55" i="11"/>
  <c r="X128" i="3"/>
  <c r="H121" i="11" s="1"/>
  <c r="X112" i="3"/>
  <c r="H105" i="11" s="1"/>
  <c r="X130" i="3"/>
  <c r="H123" i="11" s="1"/>
  <c r="X108" i="3"/>
  <c r="H101" i="11" s="1"/>
  <c r="X62" i="3"/>
  <c r="H55" i="11" s="1"/>
  <c r="G5" i="11"/>
  <c r="X11" i="3"/>
  <c r="H4" i="11" s="1"/>
  <c r="X120" i="3"/>
  <c r="H113" i="11" s="1"/>
  <c r="X118" i="3"/>
  <c r="H111" i="11" s="1"/>
  <c r="V43" i="3"/>
  <c r="G36" i="11"/>
  <c r="V47" i="3"/>
  <c r="G40" i="11"/>
  <c r="V65" i="3"/>
  <c r="G58" i="11"/>
  <c r="V45" i="3"/>
  <c r="G38" i="11"/>
  <c r="V55" i="3"/>
  <c r="G48" i="11"/>
  <c r="X41" i="3"/>
  <c r="H34" i="11" s="1"/>
  <c r="G34" i="11"/>
  <c r="X54" i="3"/>
  <c r="H47" i="11" s="1"/>
  <c r="V63" i="3"/>
  <c r="V66" i="3"/>
  <c r="X66" i="3"/>
  <c r="H59" i="11" s="1"/>
  <c r="X70" i="3"/>
  <c r="H63" i="11" s="1"/>
  <c r="X63" i="3"/>
  <c r="H56" i="11" s="1"/>
  <c r="X69" i="3"/>
  <c r="H62" i="11" s="1"/>
  <c r="X39" i="3"/>
  <c r="H32" i="11" s="1"/>
  <c r="X45" i="3"/>
  <c r="H38" i="11" s="1"/>
  <c r="X53" i="3"/>
  <c r="H46" i="11" s="1"/>
  <c r="X89" i="3"/>
  <c r="H82" i="11" s="1"/>
  <c r="X93" i="3"/>
  <c r="H86" i="11" s="1"/>
  <c r="X57" i="3"/>
  <c r="H50" i="11" s="1"/>
  <c r="X81" i="3"/>
  <c r="H74" i="11" s="1"/>
  <c r="X121" i="3"/>
  <c r="H114" i="11" s="1"/>
  <c r="X77" i="3"/>
  <c r="H70" i="11" s="1"/>
  <c r="X68" i="3"/>
  <c r="H61" i="11" s="1"/>
  <c r="X29" i="3"/>
  <c r="H22" i="11" s="1"/>
  <c r="X111" i="3"/>
  <c r="H104" i="11" s="1"/>
  <c r="X52" i="3"/>
  <c r="H45" i="11" s="1"/>
  <c r="X20" i="3"/>
  <c r="X58" i="3"/>
  <c r="H51" i="11" s="1"/>
  <c r="X17" i="3"/>
  <c r="H10" i="11" s="1"/>
  <c r="X19" i="3"/>
  <c r="H12" i="11" s="1"/>
  <c r="X83" i="3"/>
  <c r="H76" i="11" s="1"/>
  <c r="X96" i="3"/>
  <c r="H89" i="11" s="1"/>
  <c r="X76" i="3"/>
  <c r="H69" i="11" s="1"/>
  <c r="X101" i="3"/>
  <c r="H94" i="11" s="1"/>
  <c r="X61" i="3"/>
  <c r="H54" i="11" s="1"/>
  <c r="X117" i="3"/>
  <c r="H110" i="11" s="1"/>
  <c r="X43" i="3"/>
  <c r="H36" i="11" s="1"/>
  <c r="X75" i="3"/>
  <c r="H68" i="11" s="1"/>
  <c r="X49" i="3"/>
  <c r="H42" i="11" s="1"/>
  <c r="X71" i="3"/>
  <c r="H64" i="11" s="1"/>
  <c r="X59" i="3"/>
  <c r="H52" i="11" s="1"/>
  <c r="X97" i="3"/>
  <c r="H90" i="11" s="1"/>
  <c r="X82" i="3"/>
  <c r="H75" i="11" s="1"/>
  <c r="X74" i="3"/>
  <c r="H67" i="11" s="1"/>
  <c r="X133" i="3"/>
  <c r="H126" i="11" s="1"/>
  <c r="X47" i="3"/>
  <c r="H40" i="11" s="1"/>
  <c r="X51" i="3"/>
  <c r="H44" i="11" s="1"/>
  <c r="X15" i="3"/>
  <c r="H8" i="11" s="1"/>
  <c r="X44" i="3"/>
  <c r="H37" i="11" s="1"/>
  <c r="X55" i="3"/>
  <c r="H48" i="11" s="1"/>
  <c r="X26" i="3"/>
  <c r="H19" i="11" s="1"/>
  <c r="X37" i="3"/>
  <c r="H30" i="11" s="1"/>
  <c r="X35" i="3"/>
  <c r="H28" i="11" s="1"/>
  <c r="X107" i="3"/>
  <c r="H100" i="11" s="1"/>
  <c r="X98" i="3"/>
  <c r="H91" i="11" s="1"/>
  <c r="X42" i="3"/>
  <c r="H35" i="11" s="1"/>
  <c r="X56" i="3"/>
  <c r="H49" i="11" s="1"/>
  <c r="X23" i="3"/>
  <c r="H16" i="11" s="1"/>
  <c r="X36" i="3"/>
  <c r="H29" i="11" s="1"/>
  <c r="X65" i="3"/>
  <c r="H58" i="11" s="1"/>
  <c r="X60" i="3"/>
  <c r="H53" i="11" s="1"/>
  <c r="X85" i="3"/>
  <c r="H78" i="11" s="1"/>
  <c r="V44" i="3"/>
  <c r="X88" i="3"/>
  <c r="H81" i="11" s="1"/>
  <c r="X33" i="3"/>
  <c r="H26" i="11" s="1"/>
  <c r="X131" i="3"/>
  <c r="H124" i="11" s="1"/>
  <c r="X78" i="3"/>
  <c r="H71" i="11" s="1"/>
  <c r="X119" i="3"/>
  <c r="H112" i="11" s="1"/>
  <c r="X10" i="3"/>
  <c r="H3" i="11" s="1"/>
  <c r="X31" i="3"/>
  <c r="H24" i="11" s="1"/>
  <c r="X95" i="3"/>
  <c r="H88" i="11" s="1"/>
  <c r="X50" i="3"/>
  <c r="H43" i="11" s="1"/>
  <c r="X105" i="3"/>
  <c r="H98" i="11" s="1"/>
  <c r="X67" i="3"/>
  <c r="H60" i="11" s="1"/>
  <c r="X99" i="3"/>
  <c r="H92" i="11" s="1"/>
  <c r="X73" i="3"/>
  <c r="H66" i="11" s="1"/>
  <c r="X21" i="3"/>
  <c r="H14" i="11" s="1"/>
  <c r="X90" i="3"/>
  <c r="H83" i="11" s="1"/>
  <c r="X91" i="3"/>
  <c r="H84" i="11" s="1"/>
  <c r="X28" i="3"/>
  <c r="H21" i="11" s="1"/>
  <c r="X79" i="3"/>
  <c r="H72" i="11" s="1"/>
  <c r="X127" i="3"/>
  <c r="H120" i="11" s="1"/>
  <c r="X87" i="3"/>
  <c r="H80" i="11" s="1"/>
  <c r="X34" i="3"/>
  <c r="H27" i="11" s="1"/>
  <c r="O6" i="3" l="1"/>
  <c r="H9" i="7" s="1"/>
  <c r="F6" i="3"/>
  <c r="E2" i="8" s="1"/>
  <c r="J6" i="3"/>
  <c r="D2" i="8" s="1"/>
  <c r="H13" i="11"/>
  <c r="M2" i="8"/>
  <c r="O2" i="8"/>
  <c r="F9" i="7"/>
  <c r="Q6" i="3"/>
  <c r="N2" i="8" l="1"/>
  <c r="G6" i="3"/>
  <c r="G9" i="7"/>
  <c r="A9" i="7"/>
  <c r="E9" i="7"/>
  <c r="H6" i="3"/>
  <c r="H2" i="8" s="1"/>
  <c r="L9" i="7"/>
  <c r="I6" i="3" l="1"/>
  <c r="I2" i="8" s="1"/>
  <c r="F2" i="8"/>
  <c r="B9" i="7"/>
  <c r="C9" i="7"/>
  <c r="D9" i="7" l="1"/>
</calcChain>
</file>

<file path=xl/comments1.xml><?xml version="1.0" encoding="utf-8"?>
<comments xmlns="http://schemas.openxmlformats.org/spreadsheetml/2006/main">
  <authors>
    <author xml:space="preserve"> </author>
    <author>James Swirhun</author>
  </authors>
  <commentList>
    <comment ref="A5" authorId="0" shapeId="0">
      <text>
        <r>
          <rPr>
            <b/>
            <sz val="8"/>
            <color indexed="81"/>
            <rFont val="Tahoma"/>
            <family val="2"/>
          </rPr>
          <t>The Sample Name is also used for the filename when saving data so avoid special characters: / ? * etc</t>
        </r>
      </text>
    </comment>
    <comment ref="B5" authorId="0" shapeId="0">
      <text>
        <r>
          <rPr>
            <b/>
            <sz val="8"/>
            <color indexed="81"/>
            <rFont val="Tahoma"/>
            <family val="2"/>
          </rPr>
          <t>Enter the Jsc as measured by a separate IV tester. Not need for all analysis parameters.</t>
        </r>
      </text>
    </comment>
    <comment ref="D5" authorId="0" shapeId="0">
      <text>
        <r>
          <rPr>
            <b/>
            <sz val="8"/>
            <color indexed="81"/>
            <rFont val="Tahoma"/>
            <family val="2"/>
          </rPr>
          <t xml:space="preserve"> Thickness of the wafer in cm
E.g. A 100 µm wafer is 0.01 cm thick.</t>
        </r>
      </text>
    </comment>
    <comment ref="E5" authorId="0" shapeId="0">
      <text>
        <r>
          <rPr>
            <b/>
            <sz val="8"/>
            <color indexed="81"/>
            <rFont val="Tahoma"/>
            <family val="2"/>
          </rPr>
          <t>Wafer bulk resistivity.</t>
        </r>
        <r>
          <rPr>
            <b/>
            <sz val="8"/>
            <color indexed="10"/>
            <rFont val="Tahoma"/>
            <family val="2"/>
          </rPr>
          <t xml:space="preserve">
An accurate resistivity is required not simply the nominal resistivity</t>
        </r>
      </text>
    </comment>
    <comment ref="F5" authorId="1" shapeId="0">
      <text>
        <r>
          <rPr>
            <b/>
            <sz val="8"/>
            <color indexed="81"/>
            <rFont val="Tahoma"/>
            <family val="2"/>
          </rPr>
          <t>Select p- or n-type base.</t>
        </r>
      </text>
    </comment>
    <comment ref="G5" authorId="0" shapeId="0">
      <text>
        <r>
          <rPr>
            <b/>
            <sz val="8"/>
            <color indexed="81"/>
            <rFont val="Tahoma"/>
            <family val="2"/>
          </rPr>
          <t xml:space="preserve">Cell Temperature during measurement. 
25 °C is assumed for all calculations.
</t>
        </r>
      </text>
    </comment>
    <comment ref="H5" authorId="0" shapeId="0">
      <text>
        <r>
          <rPr>
            <b/>
            <sz val="8"/>
            <color indexed="81"/>
            <rFont val="Tahoma"/>
            <family val="2"/>
          </rPr>
          <t xml:space="preserve"> Date of the Measurement</t>
        </r>
      </text>
    </comment>
    <comment ref="I5" authorId="0" shapeId="0">
      <text>
        <r>
          <rPr>
            <b/>
            <sz val="8"/>
            <color indexed="81"/>
            <rFont val="Tahoma"/>
            <family val="2"/>
          </rPr>
          <t xml:space="preserve"> Time of the measurement.</t>
        </r>
      </text>
    </comment>
    <comment ref="A8" authorId="0" shapeId="0">
      <text>
        <r>
          <rPr>
            <b/>
            <sz val="8"/>
            <color indexed="81"/>
            <rFont val="Tahoma"/>
            <family val="2"/>
          </rPr>
          <t>Voc at one sun illumination. Small differences from externally measured values are caused mainly by temperature differences.</t>
        </r>
      </text>
    </comment>
    <comment ref="B8" authorId="0" shapeId="0">
      <text>
        <r>
          <rPr>
            <b/>
            <sz val="8"/>
            <color indexed="81"/>
            <rFont val="Tahoma"/>
            <family val="2"/>
          </rPr>
          <t>Voltage corresponding to the maximum power point.</t>
        </r>
      </text>
    </comment>
    <comment ref="C8" authorId="0" shapeId="0">
      <text>
        <r>
          <rPr>
            <b/>
            <sz val="8"/>
            <color indexed="81"/>
            <rFont val="Tahoma"/>
            <family val="2"/>
          </rPr>
          <t>Jmp corresponding to the maximum power point.  Only accurate if Jsc is entered correctly.</t>
        </r>
      </text>
    </comment>
    <comment ref="D8" authorId="0" shapeId="0">
      <text>
        <r>
          <rPr>
            <b/>
            <sz val="8"/>
            <color indexed="81"/>
            <rFont val="Tahoma"/>
            <family val="2"/>
          </rPr>
          <t xml:space="preserve"> FF of the solar cell without the effect of Rs. </t>
        </r>
        <r>
          <rPr>
            <b/>
            <sz val="8"/>
            <color indexed="10"/>
            <rFont val="Tahoma"/>
            <family val="2"/>
          </rPr>
          <t>This is not the real FF as measured by an IV tester.</t>
        </r>
      </text>
    </comment>
    <comment ref="E8" authorId="0" shapeId="0">
      <text>
        <r>
          <rPr>
            <b/>
            <sz val="8"/>
            <color indexed="81"/>
            <rFont val="Tahoma"/>
            <family val="2"/>
          </rPr>
          <t xml:space="preserve">Efficiency of the solar cell if there was no Rs. </t>
        </r>
        <r>
          <rPr>
            <b/>
            <sz val="8"/>
            <color indexed="10"/>
            <rFont val="Tahoma"/>
            <family val="2"/>
          </rPr>
          <t xml:space="preserve">This is not the real efficiency as measured by an IV tester.  </t>
        </r>
      </text>
    </comment>
    <comment ref="F8" authorId="0" shapeId="0">
      <text>
        <r>
          <rPr>
            <b/>
            <sz val="8"/>
            <color indexed="81"/>
            <rFont val="Tahoma"/>
            <family val="2"/>
          </rPr>
          <t>Apparent Series Resistance.</t>
        </r>
      </text>
    </comment>
    <comment ref="G8" authorId="0" shapeId="0">
      <text>
        <r>
          <rPr>
            <b/>
            <sz val="8"/>
            <color indexed="81"/>
            <rFont val="Tahoma"/>
            <family val="2"/>
          </rPr>
          <t>The approximate ideality factor at 1 sun, close to MPP.  A low Rshunt will give an erroenous high ideality factor.</t>
        </r>
      </text>
    </comment>
    <comment ref="H8" authorId="0" shapeId="0">
      <text>
        <r>
          <rPr>
            <b/>
            <sz val="8"/>
            <color indexed="81"/>
            <rFont val="Tahoma"/>
            <family val="2"/>
          </rPr>
          <t>The approximate ideality factor at 0.1 suns, close to MPP.  A low Rshunt will give an erroenous high ideality factor.</t>
        </r>
      </text>
    </comment>
    <comment ref="I8" authorId="0" shapeId="0">
      <text>
        <r>
          <rPr>
            <b/>
            <sz val="8"/>
            <color indexed="81"/>
            <rFont val="Tahoma"/>
            <family val="2"/>
          </rPr>
          <t>Voc at 0.1 suns - near the max power point.</t>
        </r>
      </text>
    </comment>
    <comment ref="J8" authorId="0" shapeId="0">
      <text>
        <r>
          <rPr>
            <b/>
            <sz val="8"/>
            <color indexed="81"/>
            <rFont val="Tahoma"/>
            <family val="2"/>
          </rPr>
          <t>Jo1 from Double Diode Fit
Not all cells are adequately described by the double diode model.</t>
        </r>
      </text>
    </comment>
    <comment ref="K8" authorId="0" shapeId="0">
      <text>
        <r>
          <rPr>
            <b/>
            <sz val="8"/>
            <color indexed="81"/>
            <rFont val="Tahoma"/>
            <family val="2"/>
          </rPr>
          <t>Jo1 from Double Diode Fit
Not all cells are adequately described by the double diode model.</t>
        </r>
      </text>
    </comment>
    <comment ref="L8" authorId="0" shapeId="0">
      <text>
        <r>
          <rPr>
            <b/>
            <sz val="8"/>
            <color indexed="81"/>
            <rFont val="Tahoma"/>
            <family val="2"/>
          </rPr>
          <t>Fitted Shunt Resistance.</t>
        </r>
      </text>
    </comment>
  </commentList>
</comments>
</file>

<file path=xl/comments2.xml><?xml version="1.0" encoding="utf-8"?>
<comments xmlns="http://schemas.openxmlformats.org/spreadsheetml/2006/main">
  <authors>
    <author>James Swirhun</author>
    <author>Adrienne Blum</author>
  </authors>
  <commentList>
    <comment ref="B4" authorId="0" shapeId="0">
      <text>
        <r>
          <rPr>
            <b/>
            <sz val="8"/>
            <color indexed="81"/>
            <rFont val="Tahoma"/>
            <family val="2"/>
          </rPr>
          <t>Illumination Sensor Calibration Constant.  Specific to each instrument. Do not change.</t>
        </r>
      </text>
    </comment>
    <comment ref="B8" authorId="0" shapeId="0">
      <text>
        <r>
          <rPr>
            <b/>
            <sz val="8"/>
            <color indexed="81"/>
            <rFont val="Tahoma"/>
            <family val="2"/>
          </rPr>
          <t>Use Generalized mode 
for Crystalline Silicon Solar Cells.  Other material Types may require QSS Mode.</t>
        </r>
      </text>
    </comment>
    <comment ref="B9" authorId="1" shapeId="0">
      <text>
        <r>
          <rPr>
            <b/>
            <sz val="9"/>
            <color indexed="81"/>
            <rFont val="Tahoma"/>
            <family val="2"/>
          </rPr>
          <t>Implements band gap narrowing analysis for the ni calculation</t>
        </r>
      </text>
    </comment>
    <comment ref="B12" authorId="0" shapeId="0">
      <text>
        <r>
          <rPr>
            <b/>
            <sz val="8"/>
            <color indexed="81"/>
            <rFont val="Tahoma"/>
            <family val="2"/>
          </rPr>
          <t>Temperature coefficient.  Used to correct measured Voc to 25 C.  Typically 2.2mV/degree C for crystalline silicon.</t>
        </r>
      </text>
    </comment>
    <comment ref="C15" authorId="0" shapeId="0">
      <text>
        <r>
          <rPr>
            <b/>
            <sz val="8"/>
            <color indexed="81"/>
            <rFont val="Tahoma"/>
            <family val="2"/>
          </rPr>
          <t>Set to TRUE to save summary of measurement to Excel Summary File when "Log to Summary" is pressed or at the end of each measurement if "Auto Summarize" is set to TRUE.</t>
        </r>
      </text>
    </comment>
    <comment ref="D15" authorId="0" shapeId="0">
      <text>
        <r>
          <rPr>
            <b/>
            <sz val="8"/>
            <color indexed="81"/>
            <rFont val="Tahoma"/>
            <family val="2"/>
          </rPr>
          <t>File Name of Excel Summary file.  File Path can be specified, default is to save to the same location as the measurement file.</t>
        </r>
      </text>
    </comment>
    <comment ref="C16" authorId="0" shapeId="0">
      <text>
        <r>
          <rPr>
            <b/>
            <sz val="8"/>
            <color indexed="81"/>
            <rFont val="Tahoma"/>
            <family val="2"/>
          </rPr>
          <t>Set to TRUE to save summary of measurement to Text Summary File when "Log to Summary" is pressed or at the end of each measurement if "Auto Summarize" is set to TRUE.</t>
        </r>
      </text>
    </comment>
    <comment ref="D16" authorId="0" shapeId="0">
      <text>
        <r>
          <rPr>
            <b/>
            <sz val="8"/>
            <color indexed="81"/>
            <rFont val="Tahoma"/>
            <family val="2"/>
          </rPr>
          <t>File Name of Text Summary File.  File Path can be specified, default is to save to the same location as the measurement file.</t>
        </r>
      </text>
    </comment>
    <comment ref="C17" authorId="0" shapeId="0">
      <text>
        <r>
          <rPr>
            <b/>
            <sz val="8"/>
            <color indexed="81"/>
            <rFont val="Tahoma"/>
            <family val="2"/>
          </rPr>
          <t>Set to TRUE to save summary of measurement to Access Summary File when "Log to Summary" is pressed or at the end of each measurement if "Auto Summarize" is set to TRUE.</t>
        </r>
      </text>
    </comment>
    <comment ref="D17" authorId="0" shapeId="0">
      <text>
        <r>
          <rPr>
            <b/>
            <sz val="8"/>
            <color indexed="81"/>
            <rFont val="Tahoma"/>
            <family val="2"/>
          </rPr>
          <t>File Name of Access Summary File.  File Path can be specified, default is to save to the same location as the measurement file.</t>
        </r>
      </text>
    </comment>
    <comment ref="C18" authorId="0" shapeId="0">
      <text>
        <r>
          <rPr>
            <b/>
            <sz val="8"/>
            <color indexed="81"/>
            <rFont val="Tahoma"/>
            <family val="2"/>
          </rPr>
          <t>Set to TRUE to automatically save a summary of measurement results to the above files after each measurement.</t>
        </r>
      </text>
    </comment>
    <comment ref="C21" authorId="0" shapeId="0">
      <text>
        <r>
          <rPr>
            <b/>
            <sz val="8"/>
            <color indexed="81"/>
            <rFont val="Tahoma"/>
            <family val="2"/>
          </rPr>
          <t>Set to TRUE to automatically save excel measurement file after each measurement.</t>
        </r>
      </text>
    </comment>
  </commentList>
</comments>
</file>

<file path=xl/sharedStrings.xml><?xml version="1.0" encoding="utf-8"?>
<sst xmlns="http://schemas.openxmlformats.org/spreadsheetml/2006/main" count="313" uniqueCount="271">
  <si>
    <t>Ref wafer V/sun</t>
  </si>
  <si>
    <t>Ref (suns)</t>
  </si>
  <si>
    <t>Fit</t>
  </si>
  <si>
    <t>Date</t>
  </si>
  <si>
    <t>Jsc</t>
  </si>
  <si>
    <t>ideality factor @ 1 sun</t>
  </si>
  <si>
    <t>Voc</t>
  </si>
  <si>
    <t>Vmp</t>
  </si>
  <si>
    <t>Jmp</t>
  </si>
  <si>
    <t>FF</t>
  </si>
  <si>
    <t>Pseudo "Efficiency"</t>
  </si>
  <si>
    <t>Apparent Rs (Ohm-cm2)</t>
  </si>
  <si>
    <t>Measured Rsh</t>
  </si>
  <si>
    <t>ideality factor @ 0.1 sun</t>
  </si>
  <si>
    <t>V near 1 sun</t>
  </si>
  <si>
    <t>V near 0.1 suns</t>
  </si>
  <si>
    <t>Jequivalent</t>
  </si>
  <si>
    <t>Power Density</t>
  </si>
  <si>
    <t>Voltage near Voc</t>
  </si>
  <si>
    <t>V at 0.97*Jsc</t>
  </si>
  <si>
    <t xml:space="preserve"> 0.1 sun Voc</t>
  </si>
  <si>
    <t>Suns-Voc Data Acquisition and Analysis</t>
  </si>
  <si>
    <t>Sample Name</t>
  </si>
  <si>
    <t>Time</t>
  </si>
  <si>
    <t>Pmax</t>
  </si>
  <si>
    <t>Jo1  (A/cm2)</t>
  </si>
  <si>
    <t>Jo2   (A/cm2)</t>
  </si>
  <si>
    <t>Jmp (A/cm²)</t>
  </si>
  <si>
    <t>Vmp (V)</t>
  </si>
  <si>
    <t>Voc (V)</t>
  </si>
  <si>
    <t>Jsc (A/cm²)</t>
  </si>
  <si>
    <t>Path name</t>
  </si>
  <si>
    <t>pcgain</t>
  </si>
  <si>
    <t>pulselength</t>
  </si>
  <si>
    <t>refgain</t>
  </si>
  <si>
    <t>basegain</t>
  </si>
  <si>
    <t>xfer</t>
  </si>
  <si>
    <t>Time in s</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</si>
  <si>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</si>
  <si>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</si>
  <si>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</si>
  <si>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</si>
  <si>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</si>
  <si>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</si>
  <si>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</si>
  <si>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</si>
  <si>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</si>
  <si>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</si>
  <si>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For both text files and database files only that data that has a heading below gets updates (see manual for more details)</t>
  </si>
  <si>
    <t>Name</t>
  </si>
  <si>
    <t>Ref</t>
  </si>
  <si>
    <t>PseudoEfficiency</t>
  </si>
  <si>
    <t>ApparentRs</t>
  </si>
  <si>
    <t>MeasuredRsh</t>
  </si>
  <si>
    <t>nat1sun</t>
  </si>
  <si>
    <t>nat0_1sun</t>
  </si>
  <si>
    <t>0_1sunVoc</t>
  </si>
  <si>
    <t>J01</t>
  </si>
  <si>
    <t>J02</t>
  </si>
  <si>
    <t>Number of Cells</t>
  </si>
  <si>
    <t>Temperature C</t>
  </si>
  <si>
    <t>Temp C</t>
  </si>
  <si>
    <t>Net Suns</t>
  </si>
  <si>
    <t>n-type</t>
  </si>
  <si>
    <t>Effective Suns</t>
  </si>
  <si>
    <t>Temp. (°C)</t>
  </si>
  <si>
    <t>Fitted Rshunt (Ohm-cm2)</t>
  </si>
  <si>
    <t>Rsh</t>
  </si>
  <si>
    <t>Jeq at Voc</t>
  </si>
  <si>
    <t>log10ref @Voc</t>
  </si>
  <si>
    <t>log10ref @0.1*Voc</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</si>
  <si>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</si>
  <si>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</si>
  <si>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</si>
  <si>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</si>
  <si>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</si>
  <si>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</si>
  <si>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</si>
  <si>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</si>
  <si>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</si>
  <si>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</si>
  <si>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</si>
  <si>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</si>
  <si>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</si>
  <si>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</si>
  <si>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</si>
  <si>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</si>
  <si>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Pseudo Efficiency</t>
  </si>
  <si>
    <t>Thickness</t>
  </si>
  <si>
    <t>PFF</t>
  </si>
  <si>
    <t>Generalized</t>
  </si>
  <si>
    <t>Voc @ 0.1 sun</t>
  </si>
  <si>
    <t>Do autoscale gains</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</si>
  <si>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</si>
  <si>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</si>
  <si>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</si>
  <si>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</si>
  <si>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</si>
  <si>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</si>
  <si>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</si>
  <si>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</si>
  <si>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</si>
  <si>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</si>
  <si>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Transmission fraction</t>
  </si>
  <si>
    <t>Light bias</t>
  </si>
  <si>
    <t>Wafer width</t>
  </si>
  <si>
    <t>MCD to evaluate tau</t>
  </si>
  <si>
    <t>Fit range</t>
  </si>
  <si>
    <t>User-input resistivity</t>
  </si>
  <si>
    <t>Analysis type (0:QSS, 1:Trans, 2:Gen)</t>
  </si>
  <si>
    <t>Dopant type (0:p, 1:n)</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</si>
  <si>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</si>
  <si>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</si>
  <si>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</si>
  <si>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</si>
  <si>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</si>
  <si>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</si>
  <si>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</si>
  <si>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</si>
  <si>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</si>
  <si>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</si>
  <si>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</si>
  <si>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</si>
  <si>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</si>
  <si>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</si>
  <si>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</si>
  <si>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</si>
  <si>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</si>
  <si>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</si>
  <si>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</si>
  <si>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Refcell constant</t>
  </si>
  <si>
    <t>Cal const A</t>
  </si>
  <si>
    <t>Cal const B</t>
  </si>
  <si>
    <t>Cal const C</t>
  </si>
  <si>
    <t>Area fraction</t>
  </si>
  <si>
    <t>Primary refcell constant</t>
  </si>
  <si>
    <t>Secondary refcell constant</t>
  </si>
  <si>
    <t>Temp Command</t>
  </si>
  <si>
    <t>Version</t>
  </si>
  <si>
    <t>Suns-Voc Measurement Software</t>
  </si>
  <si>
    <t>Sample Parameters</t>
  </si>
  <si>
    <t>Wafer Thickness (cm)</t>
  </si>
  <si>
    <t>Base Resistivity (Ohm-cm)</t>
  </si>
  <si>
    <t>Base Type</t>
  </si>
  <si>
    <t>Measurement Results</t>
  </si>
  <si>
    <t>Logged to Summary?</t>
  </si>
  <si>
    <t>Measurement Details</t>
  </si>
  <si>
    <t>Ideality (n) @ 0.1 sun</t>
  </si>
  <si>
    <t>Error Message</t>
  </si>
  <si>
    <t>p-type</t>
  </si>
  <si>
    <t>Corrected Voc</t>
  </si>
  <si>
    <t>Summary Settings</t>
  </si>
  <si>
    <t>Instrument Calibration</t>
  </si>
  <si>
    <t>Temp Coeff (V/C )</t>
  </si>
  <si>
    <t>Reference Cell Calibration (V/sun)</t>
  </si>
  <si>
    <t>Autosave Settings</t>
  </si>
  <si>
    <t>Advanced Cell Settings</t>
  </si>
  <si>
    <t>Advanced Analysis Settings</t>
  </si>
  <si>
    <t>Analysis Mode</t>
  </si>
  <si>
    <t xml:space="preserve">Auto Summarize </t>
  </si>
  <si>
    <t>Data Validation Tables</t>
  </si>
  <si>
    <t>True/False</t>
  </si>
  <si>
    <t>QSS</t>
  </si>
  <si>
    <t>Serial Number</t>
  </si>
  <si>
    <t>Jo1 (A/cm²)</t>
  </si>
  <si>
    <t>Jo2 (A/cm²)</t>
  </si>
  <si>
    <t>V @ 0.1 suns</t>
  </si>
  <si>
    <t xml:space="preserve"> </t>
  </si>
  <si>
    <t>Data Acquisition Settings</t>
  </si>
  <si>
    <t>Measure Command</t>
  </si>
  <si>
    <t>Ch0 (Reference Cell) Input Range (volts)</t>
  </si>
  <si>
    <t>Ch1 (Measured Cell) Input Range (volts)</t>
  </si>
  <si>
    <t>Voltage Ranges</t>
  </si>
  <si>
    <r>
      <rPr>
        <sz val="10"/>
        <rFont val="Calibri"/>
        <family val="2"/>
      </rPr>
      <t>±</t>
    </r>
    <r>
      <rPr>
        <sz val="10"/>
        <rFont val="Arial"/>
        <family val="2"/>
      </rPr>
      <t>200mV</t>
    </r>
  </si>
  <si>
    <r>
      <rPr>
        <sz val="10"/>
        <rFont val="Calibri"/>
        <family val="2"/>
      </rPr>
      <t>±</t>
    </r>
    <r>
      <rPr>
        <sz val="10"/>
        <rFont val="Arial"/>
        <family val="2"/>
      </rPr>
      <t>500mV</t>
    </r>
  </si>
  <si>
    <r>
      <rPr>
        <sz val="10"/>
        <rFont val="Calibri"/>
        <family val="2"/>
      </rPr>
      <t>±</t>
    </r>
    <r>
      <rPr>
        <sz val="10"/>
        <rFont val="Arial"/>
        <family val="2"/>
      </rPr>
      <t>1V</t>
    </r>
  </si>
  <si>
    <r>
      <rPr>
        <sz val="10"/>
        <rFont val="Calibri"/>
        <family val="2"/>
      </rPr>
      <t>±</t>
    </r>
    <r>
      <rPr>
        <sz val="10"/>
        <rFont val="Arial"/>
        <family val="2"/>
      </rPr>
      <t>2V</t>
    </r>
  </si>
  <si>
    <r>
      <rPr>
        <sz val="10"/>
        <rFont val="Calibri"/>
        <family val="2"/>
      </rPr>
      <t>±</t>
    </r>
    <r>
      <rPr>
        <sz val="10"/>
        <rFont val="Arial"/>
        <family val="2"/>
      </rPr>
      <t>5V</t>
    </r>
  </si>
  <si>
    <t>Gain Setting</t>
  </si>
  <si>
    <r>
      <rPr>
        <sz val="10"/>
        <rFont val="Calibri"/>
        <family val="2"/>
      </rPr>
      <t>±</t>
    </r>
    <r>
      <rPr>
        <sz val="10"/>
        <rFont val="Arial"/>
        <family val="2"/>
      </rPr>
      <t>10V</t>
    </r>
  </si>
  <si>
    <r>
      <rPr>
        <sz val="10"/>
        <rFont val="Calibri"/>
        <family val="2"/>
      </rPr>
      <t>±</t>
    </r>
    <r>
      <rPr>
        <sz val="10"/>
        <rFont val="Arial"/>
        <family val="2"/>
      </rPr>
      <t>20V</t>
    </r>
  </si>
  <si>
    <r>
      <rPr>
        <sz val="10"/>
        <rFont val="Calibri"/>
        <family val="2"/>
      </rPr>
      <t>±</t>
    </r>
    <r>
      <rPr>
        <sz val="10"/>
        <rFont val="Arial"/>
        <family val="2"/>
      </rPr>
      <t>40V</t>
    </r>
  </si>
  <si>
    <t>±1V</t>
  </si>
  <si>
    <t>Field</t>
  </si>
  <si>
    <t>Value</t>
  </si>
  <si>
    <t>Flag</t>
  </si>
  <si>
    <t>Save to Text File</t>
  </si>
  <si>
    <t>Save to Access DB</t>
  </si>
  <si>
    <t>File Name</t>
  </si>
  <si>
    <t>The row above (row 2) is copied to the excel summary file when the "Log to Summary" button is pressed.</t>
  </si>
  <si>
    <t>Row 10 is for updating an access database file.  The names below must match the column headings in the Access .accdb file.</t>
  </si>
  <si>
    <t>Instrument SN</t>
  </si>
  <si>
    <t>InstrumentSN</t>
  </si>
  <si>
    <t xml:space="preserve"> false</t>
  </si>
  <si>
    <t>Coupling_channel_0</t>
  </si>
  <si>
    <t>Coupling_channel_1</t>
  </si>
  <si>
    <t>Use_linear_divisions</t>
  </si>
  <si>
    <t>Auger_coef_used</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</si>
  <si>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</si>
  <si>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</si>
  <si>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</si>
  <si>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</si>
  <si>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</si>
  <si>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</si>
  <si>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</si>
  <si>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</si>
  <si>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</si>
  <si>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</si>
  <si>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</si>
  <si>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</si>
  <si>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</si>
  <si>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</si>
  <si>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 xml:space="preserve"> 1.0default</t>
  </si>
  <si>
    <t>Default_recipe_path</t>
  </si>
  <si>
    <t>Index_of_flashmode</t>
  </si>
  <si>
    <t>Jo2_nA</t>
  </si>
  <si>
    <t>Rshunt</t>
  </si>
  <si>
    <t>Sample Name Input Box Setting</t>
  </si>
  <si>
    <t>Show Sample Name Input Box</t>
  </si>
  <si>
    <t>Auto Save File After Each Measurement</t>
  </si>
  <si>
    <t>Save to Excel Summary File</t>
  </si>
  <si>
    <t>Logged</t>
  </si>
  <si>
    <t>© Sinton Instruments 2012</t>
  </si>
  <si>
    <t>C:\SintonInstruments\SunsVocSummaryData\summaryVoc.txt</t>
  </si>
  <si>
    <t>C:\SintonInstruments\SunsVocSummaryData\summaryVoc.accdb</t>
  </si>
  <si>
    <t>C:\SintonInstruments\SunsVocSummaryData\SUMMARYvoc.xlsm</t>
  </si>
  <si>
    <t>C:\lifetime\lifetime.exe /subbase=0 /numflashes=1</t>
  </si>
  <si>
    <t>C:\lifetime\lifetime.exe /temponly=true /switchedTCgain=20</t>
  </si>
  <si>
    <t>Corrected V</t>
  </si>
  <si>
    <t>J equivalent</t>
  </si>
  <si>
    <t>Pseudo Power density</t>
  </si>
  <si>
    <t>MCD</t>
  </si>
  <si>
    <t>Tau_effective</t>
  </si>
  <si>
    <t>Band Gap Narrowing</t>
  </si>
  <si>
    <t>ON</t>
  </si>
  <si>
    <t>OFF</t>
  </si>
  <si>
    <t>Doping</t>
  </si>
  <si>
    <t>Max PV</t>
  </si>
  <si>
    <t>Time of Max PV</t>
  </si>
  <si>
    <t>Squares</t>
  </si>
  <si>
    <t>ni BGN</t>
  </si>
  <si>
    <t>Delta N</t>
  </si>
  <si>
    <t>dV/dt</t>
  </si>
  <si>
    <t>q</t>
  </si>
  <si>
    <t>k</t>
  </si>
  <si>
    <t>ni Sproul/ Green</t>
  </si>
  <si>
    <t>Effective Lifetime (s)</t>
  </si>
  <si>
    <t>Ideality (n)   @ 1 sun</t>
  </si>
  <si>
    <t>*BGN from Achim Kimmerle, Fraunhofer ISE</t>
  </si>
  <si>
    <t>Jo1_pA</t>
  </si>
  <si>
    <t>sum(sqaures)</t>
  </si>
  <si>
    <t>sum(shuntsquares)</t>
  </si>
  <si>
    <t>Fit Parameters - Do Not Change</t>
  </si>
  <si>
    <t>Max Ch1 Voltage</t>
  </si>
  <si>
    <t>Ave Ch1 Voltage</t>
  </si>
  <si>
    <t>cutoff</t>
  </si>
  <si>
    <t>Apparent Rs (W-cm²)</t>
  </si>
  <si>
    <t>Fitted Rsh (W-cm²)</t>
  </si>
  <si>
    <t>Acquisition Time (µs)</t>
  </si>
  <si>
    <t>4.6.0</t>
  </si>
  <si>
    <t>© Sinton Instruments 2014</t>
  </si>
  <si>
    <r>
      <t>Apparent Rs (Ohm-cm</t>
    </r>
    <r>
      <rPr>
        <b/>
        <vertAlign val="superscript"/>
        <sz val="10"/>
        <rFont val="Calibri"/>
        <family val="2"/>
        <scheme val="minor"/>
      </rPr>
      <t>2</t>
    </r>
    <r>
      <rPr>
        <b/>
        <sz val="10"/>
        <rFont val="Calibri"/>
        <family val="2"/>
        <scheme val="minor"/>
      </rPr>
      <t>)</t>
    </r>
  </si>
  <si>
    <r>
      <t>Rsh lower bound (Ohm-cm</t>
    </r>
    <r>
      <rPr>
        <b/>
        <vertAlign val="superscript"/>
        <sz val="10"/>
        <rFont val="Calibri"/>
        <family val="2"/>
        <scheme val="minor"/>
      </rPr>
      <t>2</t>
    </r>
    <r>
      <rPr>
        <b/>
        <sz val="10"/>
        <rFont val="Calibri"/>
        <family val="2"/>
        <scheme val="minor"/>
      </rPr>
      <t>)</t>
    </r>
  </si>
  <si>
    <r>
      <t>Jo1 (A/cm</t>
    </r>
    <r>
      <rPr>
        <b/>
        <vertAlign val="superscript"/>
        <sz val="10"/>
        <rFont val="Calibri"/>
        <family val="2"/>
        <scheme val="minor"/>
      </rPr>
      <t>2</t>
    </r>
    <r>
      <rPr>
        <b/>
        <sz val="10"/>
        <rFont val="Calibri"/>
        <family val="2"/>
        <scheme val="minor"/>
      </rPr>
      <t>) (pA/cm</t>
    </r>
    <r>
      <rPr>
        <b/>
        <vertAlign val="superscript"/>
        <sz val="10"/>
        <rFont val="Calibri"/>
        <family val="2"/>
        <scheme val="minor"/>
      </rPr>
      <t>2</t>
    </r>
    <r>
      <rPr>
        <b/>
        <sz val="10"/>
        <rFont val="Calibri"/>
        <family val="2"/>
        <scheme val="minor"/>
      </rPr>
      <t>)</t>
    </r>
  </si>
  <si>
    <r>
      <t>Jo2 (A/cm</t>
    </r>
    <r>
      <rPr>
        <b/>
        <vertAlign val="superscript"/>
        <sz val="10"/>
        <rFont val="Calibri"/>
        <family val="2"/>
        <scheme val="minor"/>
      </rPr>
      <t>2</t>
    </r>
    <r>
      <rPr>
        <b/>
        <sz val="10"/>
        <rFont val="Calibri"/>
        <family val="2"/>
        <scheme val="minor"/>
      </rPr>
      <t>) (nA/cm</t>
    </r>
    <r>
      <rPr>
        <b/>
        <vertAlign val="superscript"/>
        <sz val="10"/>
        <rFont val="Calibri"/>
        <family val="2"/>
        <scheme val="minor"/>
      </rPr>
      <t>2</t>
    </r>
    <r>
      <rPr>
        <b/>
        <sz val="10"/>
        <rFont val="Calibri"/>
        <family val="2"/>
        <scheme val="minor"/>
      </rPr>
      <t>)</t>
    </r>
  </si>
  <si>
    <r>
      <t>Carrier Density (cm</t>
    </r>
    <r>
      <rPr>
        <b/>
        <vertAlign val="superscript"/>
        <sz val="10"/>
        <rFont val="Calibri"/>
        <family val="2"/>
        <scheme val="minor"/>
      </rPr>
      <t>-3</t>
    </r>
    <r>
      <rPr>
        <b/>
        <sz val="10"/>
        <rFont val="Calibri"/>
        <family val="2"/>
        <scheme val="minor"/>
      </rPr>
      <t>)</t>
    </r>
  </si>
  <si>
    <r>
      <t>dn/dt       (cm</t>
    </r>
    <r>
      <rPr>
        <b/>
        <vertAlign val="superscript"/>
        <sz val="10"/>
        <rFont val="Calibri"/>
        <family val="2"/>
        <scheme val="minor"/>
      </rPr>
      <t>-3</t>
    </r>
    <r>
      <rPr>
        <b/>
        <sz val="10"/>
        <rFont val="Calibri"/>
        <family val="2"/>
        <scheme val="minor"/>
      </rPr>
      <t>s</t>
    </r>
    <r>
      <rPr>
        <b/>
        <vertAlign val="superscript"/>
        <sz val="10"/>
        <rFont val="Calibri"/>
        <family val="2"/>
        <scheme val="minor"/>
      </rPr>
      <t>-1</t>
    </r>
    <r>
      <rPr>
        <b/>
        <sz val="10"/>
        <rFont val="Calibri"/>
        <family val="2"/>
        <scheme val="minor"/>
      </rPr>
      <t>)</t>
    </r>
  </si>
  <si>
    <t>13-128197</t>
  </si>
  <si>
    <t>Ntautrap</t>
  </si>
  <si>
    <t>Trapping voltage at Ntautrap</t>
  </si>
  <si>
    <t>remeasure YM18-w15-4a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</si>
</sst>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
    <numFmt numFmtId="165" formatCode="0.0"/>
    <numFmt numFmtId="166" formatCode="0.0E+00"/>
    <numFmt numFmtId="167" formatCode="0.000"/>
    <numFmt numFmtId="168" formatCode="dd\-mmm\-yy"/>
    <numFmt numFmtId="169" formatCode="[$-F400]h:mm:ss\ AM/PM"/>
    <numFmt numFmtId="170" formatCode="0.0%"/>
  </numFmts>
  <fonts count="25">
    <font>
      <sz val="10"/>
      <name val="Geneva"/>
    </font>
    <font>
      <sz val="10"/>
      <name val="Arial"/>
      <family val="2"/>
    </font>
    <font>
      <b/>
      <sz val="8"/>
      <color indexed="10"/>
      <name val="Tahoma"/>
      <family val="2"/>
    </font>
    <font>
      <b/>
      <sz val="10"/>
      <name val="Arial"/>
      <family val="2"/>
    </font>
    <font>
      <sz val="10"/>
      <name val="Arial"/>
      <family val="2"/>
    </font>
    <font>
      <b/>
      <sz val="10"/>
      <color indexed="10"/>
      <name val="Arial"/>
      <family val="2"/>
    </font>
    <font>
      <b/>
      <sz val="8"/>
      <color indexed="81"/>
      <name val="Tahoma"/>
      <family val="2"/>
    </font>
    <font>
      <sz val="10"/>
      <name val="Calibri"/>
      <family val="2"/>
    </font>
    <font>
      <b/>
      <sz val="10"/>
      <color rgb="FF3A2BF9"/>
      <name val="Arial"/>
      <family val="2"/>
    </font>
    <font>
      <sz val="10"/>
      <name val="Geneva"/>
      <family val="2"/>
    </font>
    <font>
      <b/>
      <sz val="9"/>
      <color indexed="81"/>
      <name val="Tahoma"/>
      <family val="2"/>
    </font>
    <font>
      <sz val="8"/>
      <name val="Calibri"/>
      <family val="2"/>
      <scheme val="minor"/>
    </font>
    <font>
      <b/>
      <sz val="10"/>
      <name val="Calibri"/>
      <family val="2"/>
      <scheme val="minor"/>
    </font>
    <font>
      <b/>
      <sz val="8"/>
      <name val="Calibri"/>
      <family val="2"/>
      <scheme val="minor"/>
    </font>
    <font>
      <b/>
      <sz val="10"/>
      <color rgb="FF3A2BF9"/>
      <name val="Calibri"/>
      <family val="2"/>
      <scheme val="minor"/>
    </font>
    <font>
      <b/>
      <sz val="12"/>
      <color rgb="FFFF0000"/>
      <name val="Calibri"/>
      <family val="2"/>
      <scheme val="minor"/>
    </font>
    <font>
      <b/>
      <sz val="8"/>
      <color indexed="10"/>
      <name val="Calibri"/>
      <family val="2"/>
      <scheme val="minor"/>
    </font>
    <font>
      <b/>
      <sz val="10"/>
      <color indexed="8"/>
      <name val="Calibri"/>
      <family val="2"/>
      <scheme val="minor"/>
    </font>
    <font>
      <b/>
      <sz val="10"/>
      <color rgb="FFFF0000"/>
      <name val="Calibri"/>
      <family val="2"/>
      <scheme val="minor"/>
    </font>
    <font>
      <b/>
      <sz val="12"/>
      <name val="Calibri"/>
      <family val="2"/>
      <scheme val="minor"/>
    </font>
    <font>
      <sz val="10"/>
      <name val="Calibri"/>
      <family val="2"/>
      <scheme val="minor"/>
    </font>
    <font>
      <b/>
      <sz val="10"/>
      <color indexed="10"/>
      <name val="Calibri"/>
      <family val="2"/>
      <scheme val="minor"/>
    </font>
    <font>
      <b/>
      <sz val="10"/>
      <color indexed="12"/>
      <name val="Calibri"/>
      <family val="2"/>
      <scheme val="minor"/>
    </font>
    <font>
      <b/>
      <vertAlign val="superscript"/>
      <sz val="10"/>
      <name val="Calibri"/>
      <family val="2"/>
      <scheme val="minor"/>
    </font>
    <font>
      <sz val="10"/>
      <color rgb="FF0070C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5">
    <border>
      <left/>
      <right/>
      <top/>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0" borderId="0"/>
    <xf numFmtId="9" fontId="9" fillId="0" borderId="0" applyFont="0" applyFill="0" applyBorder="0" applyAlignment="0" applyProtection="0"/>
  </cellStyleXfs>
  <cellXfs count="148">
    <xf numFmtId="0" fontId="0" fillId="0" borderId="0" xfId="0"/>
    <xf numFmtId="0" fontId="1" fillId="3" borderId="0" xfId="0" applyFont="1" applyFill="1"/>
    <xf numFmtId="0" fontId="1" fillId="3" borderId="0" xfId="0" applyFont="1" applyFill="1" applyAlignment="1">
      <alignment horizontal="left"/>
    </xf>
    <xf numFmtId="0" fontId="5" fillId="3" borderId="0" xfId="0" applyFont="1" applyFill="1" applyBorder="1"/>
    <xf numFmtId="0" fontId="3" fillId="3" borderId="3" xfId="0" applyFont="1" applyFill="1" applyBorder="1" applyAlignment="1">
      <alignment horizontal="left"/>
    </xf>
    <xf numFmtId="0" fontId="1" fillId="3" borderId="3" xfId="0" applyFont="1" applyFill="1" applyBorder="1" applyAlignment="1">
      <alignment horizontal="center"/>
    </xf>
    <xf numFmtId="0" fontId="1" fillId="3" borderId="0" xfId="1" applyFill="1"/>
    <xf numFmtId="0" fontId="1" fillId="3" borderId="0" xfId="1" applyFill="1" applyAlignment="1">
      <alignment horizontal="center"/>
    </xf>
    <xf numFmtId="0" fontId="5" fillId="3" borderId="0" xfId="1" applyFont="1" applyFill="1"/>
    <xf numFmtId="0" fontId="1" fillId="3" borderId="3" xfId="1" applyFill="1" applyBorder="1" applyAlignment="1">
      <alignment horizontal="center"/>
    </xf>
    <xf numFmtId="0" fontId="3" fillId="3" borderId="1" xfId="1" applyFont="1" applyFill="1" applyBorder="1"/>
    <xf numFmtId="0" fontId="8" fillId="3" borderId="0" xfId="1" applyFont="1" applyFill="1"/>
    <xf numFmtId="0" fontId="8" fillId="3" borderId="0" xfId="0" applyFont="1" applyFill="1"/>
    <xf numFmtId="0" fontId="1" fillId="3" borderId="0" xfId="1" applyFont="1" applyFill="1"/>
    <xf numFmtId="0" fontId="0" fillId="3" borderId="0" xfId="0" applyFill="1"/>
    <xf numFmtId="0" fontId="11" fillId="2" borderId="0" xfId="0" applyFont="1" applyFill="1" applyProtection="1"/>
    <xf numFmtId="0" fontId="12" fillId="2" borderId="0" xfId="0" applyFont="1" applyFill="1" applyAlignment="1" applyProtection="1">
      <alignment horizontal="left" vertical="center"/>
    </xf>
    <xf numFmtId="0" fontId="11" fillId="2" borderId="0" xfId="0" applyFont="1" applyFill="1"/>
    <xf numFmtId="0" fontId="12" fillId="2" borderId="0" xfId="0" applyFont="1" applyFill="1" applyAlignment="1" applyProtection="1">
      <alignment horizontal="center" vertical="center"/>
    </xf>
    <xf numFmtId="49" fontId="12" fillId="2" borderId="0" xfId="0" applyNumberFormat="1" applyFont="1" applyFill="1" applyAlignment="1" applyProtection="1">
      <alignment horizontal="center"/>
    </xf>
    <xf numFmtId="14" fontId="11" fillId="2" borderId="0" xfId="0" applyNumberFormat="1" applyFont="1" applyFill="1" applyProtection="1"/>
    <xf numFmtId="0" fontId="12" fillId="2" borderId="0" xfId="0" applyFont="1" applyFill="1" applyBorder="1" applyAlignment="1" applyProtection="1">
      <alignment horizontal="left" vertical="center"/>
    </xf>
    <xf numFmtId="0" fontId="12" fillId="2" borderId="0" xfId="0" applyFont="1" applyFill="1" applyBorder="1" applyProtection="1"/>
    <xf numFmtId="0" fontId="11" fillId="2" borderId="0" xfId="0" applyFont="1" applyFill="1" applyBorder="1" applyProtection="1"/>
    <xf numFmtId="0" fontId="12" fillId="2" borderId="0" xfId="0" applyFont="1" applyFill="1" applyBorder="1" applyAlignment="1" applyProtection="1">
      <alignment horizontal="left"/>
    </xf>
    <xf numFmtId="0" fontId="13" fillId="2" borderId="0" xfId="0" applyFont="1" applyFill="1" applyBorder="1" applyProtection="1"/>
    <xf numFmtId="0" fontId="11" fillId="2" borderId="0" xfId="0" applyFont="1" applyFill="1" applyBorder="1" applyAlignment="1" applyProtection="1">
      <alignment horizontal="right"/>
    </xf>
    <xf numFmtId="0" fontId="12" fillId="3" borderId="5" xfId="0" applyFont="1" applyFill="1" applyBorder="1" applyAlignment="1" applyProtection="1">
      <alignment horizontal="center" wrapText="1"/>
    </xf>
    <xf numFmtId="0" fontId="12" fillId="3" borderId="6" xfId="0" applyFont="1" applyFill="1" applyBorder="1" applyAlignment="1" applyProtection="1">
      <alignment horizontal="center" wrapText="1"/>
    </xf>
    <xf numFmtId="0" fontId="12" fillId="3" borderId="8" xfId="0" applyFont="1" applyFill="1" applyBorder="1" applyAlignment="1" applyProtection="1">
      <alignment horizontal="center" wrapText="1"/>
    </xf>
    <xf numFmtId="0" fontId="12" fillId="3" borderId="6" xfId="0" applyFont="1" applyFill="1" applyBorder="1" applyAlignment="1" applyProtection="1">
      <alignment horizontal="center"/>
    </xf>
    <xf numFmtId="0" fontId="12" fillId="3" borderId="6" xfId="0" applyFont="1" applyFill="1" applyBorder="1" applyAlignment="1" applyProtection="1">
      <alignment wrapText="1"/>
    </xf>
    <xf numFmtId="0" fontId="12" fillId="3" borderId="7" xfId="0" applyFont="1" applyFill="1" applyBorder="1" applyAlignment="1">
      <alignment horizontal="center" wrapText="1"/>
    </xf>
    <xf numFmtId="0" fontId="13" fillId="2" borderId="0" xfId="0" applyFont="1" applyFill="1" applyBorder="1" applyAlignment="1">
      <alignment wrapText="1"/>
    </xf>
    <xf numFmtId="0" fontId="11" fillId="2" borderId="0" xfId="0" applyFont="1" applyFill="1" applyBorder="1"/>
    <xf numFmtId="16" fontId="14" fillId="2" borderId="4" xfId="0" applyNumberFormat="1" applyFont="1" applyFill="1" applyBorder="1" applyAlignment="1" applyProtection="1">
      <alignment horizontal="center"/>
      <protection locked="0"/>
    </xf>
    <xf numFmtId="11" fontId="14" fillId="2" borderId="1" xfId="0" applyNumberFormat="1" applyFont="1" applyFill="1" applyBorder="1" applyAlignment="1" applyProtection="1">
      <alignment horizontal="center"/>
      <protection locked="0"/>
    </xf>
    <xf numFmtId="0" fontId="14" fillId="2" borderId="1" xfId="0" applyFont="1" applyFill="1" applyBorder="1" applyAlignment="1" applyProtection="1">
      <alignment horizontal="center"/>
      <protection locked="0"/>
    </xf>
    <xf numFmtId="164" fontId="14" fillId="2" borderId="1" xfId="0" applyNumberFormat="1" applyFont="1" applyFill="1" applyBorder="1" applyAlignment="1" applyProtection="1">
      <alignment horizontal="center"/>
      <protection locked="0"/>
    </xf>
    <xf numFmtId="165" fontId="14" fillId="2" borderId="1" xfId="0" applyNumberFormat="1" applyFont="1" applyFill="1" applyBorder="1" applyAlignment="1" applyProtection="1">
      <alignment horizontal="center"/>
      <protection locked="0"/>
    </xf>
    <xf numFmtId="0" fontId="14" fillId="0" borderId="7" xfId="0" applyFont="1" applyBorder="1" applyAlignment="1" applyProtection="1">
      <alignment horizontal="center"/>
      <protection locked="0"/>
    </xf>
    <xf numFmtId="165" fontId="12" fillId="2" borderId="5" xfId="0" applyNumberFormat="1" applyFont="1" applyFill="1" applyBorder="1" applyAlignment="1" applyProtection="1">
      <alignment horizontal="center"/>
    </xf>
    <xf numFmtId="168" fontId="12" fillId="2" borderId="6" xfId="0" applyNumberFormat="1" applyFont="1" applyFill="1" applyBorder="1" applyAlignment="1" applyProtection="1">
      <alignment horizontal="center"/>
    </xf>
    <xf numFmtId="18" fontId="12" fillId="2" borderId="6" xfId="0" applyNumberFormat="1" applyFont="1" applyFill="1" applyBorder="1" applyAlignment="1" applyProtection="1">
      <alignment horizontal="center"/>
    </xf>
    <xf numFmtId="0" fontId="12" fillId="2" borderId="6" xfId="0" applyFont="1" applyFill="1" applyBorder="1" applyAlignment="1" applyProtection="1">
      <alignment horizontal="center"/>
    </xf>
    <xf numFmtId="16" fontId="12" fillId="2" borderId="0" xfId="0" applyNumberFormat="1" applyFont="1" applyFill="1" applyBorder="1" applyAlignment="1" applyProtection="1"/>
    <xf numFmtId="11" fontId="16" fillId="2" borderId="0" xfId="0" applyNumberFormat="1" applyFont="1" applyFill="1" applyBorder="1" applyAlignment="1" applyProtection="1"/>
    <xf numFmtId="0" fontId="16" fillId="2" borderId="0" xfId="0" applyFont="1" applyFill="1" applyBorder="1" applyAlignment="1" applyProtection="1">
      <alignment horizontal="center"/>
    </xf>
    <xf numFmtId="0" fontId="12" fillId="3" borderId="9" xfId="0" applyFont="1" applyFill="1" applyBorder="1" applyAlignment="1" applyProtection="1">
      <alignment horizontal="center" wrapText="1"/>
    </xf>
    <xf numFmtId="167" fontId="17" fillId="2" borderId="5" xfId="0" applyNumberFormat="1" applyFont="1" applyFill="1" applyBorder="1" applyAlignment="1" applyProtection="1">
      <alignment horizontal="center"/>
    </xf>
    <xf numFmtId="167" fontId="17" fillId="2" borderId="6" xfId="0" applyNumberFormat="1" applyFont="1" applyFill="1" applyBorder="1" applyAlignment="1" applyProtection="1">
      <alignment horizontal="center"/>
    </xf>
    <xf numFmtId="167" fontId="12" fillId="2" borderId="6" xfId="0" applyNumberFormat="1" applyFont="1" applyFill="1" applyBorder="1" applyAlignment="1" applyProtection="1">
      <alignment horizontal="center"/>
    </xf>
    <xf numFmtId="165" fontId="12" fillId="2" borderId="6" xfId="0" applyNumberFormat="1" applyFont="1" applyFill="1" applyBorder="1" applyAlignment="1" applyProtection="1">
      <alignment horizontal="center"/>
    </xf>
    <xf numFmtId="2" fontId="12" fillId="2" borderId="6" xfId="0" applyNumberFormat="1" applyFont="1" applyFill="1" applyBorder="1" applyAlignment="1" applyProtection="1">
      <alignment horizontal="center"/>
    </xf>
    <xf numFmtId="166" fontId="12" fillId="2" borderId="6" xfId="0" applyNumberFormat="1" applyFont="1" applyFill="1" applyBorder="1" applyAlignment="1" applyProtection="1">
      <alignment horizontal="center"/>
    </xf>
    <xf numFmtId="1" fontId="12" fillId="2" borderId="7" xfId="0" applyNumberFormat="1" applyFont="1" applyFill="1" applyBorder="1" applyAlignment="1" applyProtection="1">
      <alignment horizontal="center"/>
    </xf>
    <xf numFmtId="0" fontId="13" fillId="2" borderId="0" xfId="0" applyFont="1" applyFill="1"/>
    <xf numFmtId="0" fontId="13" fillId="2" borderId="0" xfId="0" applyFont="1" applyFill="1" applyProtection="1"/>
    <xf numFmtId="0" fontId="18" fillId="2" borderId="0" xfId="0" applyNumberFormat="1" applyFont="1" applyFill="1" applyBorder="1" applyAlignment="1"/>
    <xf numFmtId="0" fontId="18" fillId="2" borderId="0" xfId="0" applyNumberFormat="1" applyFont="1" applyFill="1" applyBorder="1" applyAlignment="1" applyProtection="1"/>
    <xf numFmtId="0" fontId="19" fillId="2" borderId="0" xfId="0" applyFont="1" applyFill="1" applyBorder="1" applyProtection="1"/>
    <xf numFmtId="0" fontId="20" fillId="2" borderId="0" xfId="0" applyFont="1" applyFill="1" applyBorder="1" applyProtection="1"/>
    <xf numFmtId="170" fontId="11" fillId="2" borderId="0" xfId="2" applyNumberFormat="1" applyFont="1" applyFill="1" applyProtection="1"/>
    <xf numFmtId="2" fontId="20" fillId="2" borderId="3" xfId="2" applyNumberFormat="1" applyFont="1" applyFill="1" applyBorder="1" applyAlignment="1" applyProtection="1">
      <alignment horizontal="center"/>
      <protection locked="0"/>
    </xf>
    <xf numFmtId="2" fontId="20" fillId="2" borderId="3" xfId="0" applyNumberFormat="1" applyFont="1" applyFill="1" applyBorder="1" applyAlignment="1" applyProtection="1">
      <alignment horizontal="center"/>
      <protection locked="0"/>
    </xf>
    <xf numFmtId="0" fontId="20" fillId="2" borderId="0" xfId="0" applyFont="1" applyFill="1" applyBorder="1" applyAlignment="1" applyProtection="1"/>
    <xf numFmtId="0" fontId="20" fillId="2" borderId="3" xfId="0" applyNumberFormat="1" applyFont="1" applyFill="1" applyBorder="1" applyAlignment="1" applyProtection="1">
      <alignment horizontal="center"/>
      <protection locked="0"/>
    </xf>
    <xf numFmtId="2" fontId="20" fillId="2" borderId="3" xfId="0" applyNumberFormat="1" applyFont="1" applyFill="1" applyBorder="1" applyAlignment="1" applyProtection="1">
      <alignment horizontal="center"/>
    </xf>
    <xf numFmtId="0" fontId="20" fillId="0" borderId="0" xfId="0" applyFont="1"/>
    <xf numFmtId="0" fontId="20" fillId="3" borderId="0" xfId="0" applyFont="1" applyFill="1" applyProtection="1"/>
    <xf numFmtId="0" fontId="20" fillId="3" borderId="0" xfId="0" applyFont="1" applyFill="1" applyBorder="1" applyProtection="1"/>
    <xf numFmtId="0" fontId="19" fillId="3" borderId="0" xfId="0" applyFont="1" applyFill="1" applyProtection="1"/>
    <xf numFmtId="0" fontId="19" fillId="3" borderId="0" xfId="0" applyFont="1" applyFill="1" applyBorder="1" applyProtection="1"/>
    <xf numFmtId="0" fontId="12" fillId="3" borderId="3" xfId="0" applyFont="1" applyFill="1" applyBorder="1" applyAlignment="1" applyProtection="1">
      <alignment wrapText="1"/>
    </xf>
    <xf numFmtId="164" fontId="21" fillId="3" borderId="3" xfId="0" applyNumberFormat="1" applyFont="1" applyFill="1" applyBorder="1" applyAlignment="1" applyProtection="1">
      <alignment horizontal="center" vertical="center"/>
      <protection locked="0"/>
    </xf>
    <xf numFmtId="0" fontId="21" fillId="3" borderId="3" xfId="0" applyFont="1" applyFill="1" applyBorder="1" applyAlignment="1" applyProtection="1">
      <alignment horizontal="center"/>
      <protection locked="0"/>
    </xf>
    <xf numFmtId="0" fontId="12" fillId="3" borderId="5" xfId="0" applyFont="1" applyFill="1" applyBorder="1" applyProtection="1"/>
    <xf numFmtId="0" fontId="20" fillId="3" borderId="2" xfId="0" applyFont="1" applyFill="1" applyBorder="1" applyProtection="1"/>
    <xf numFmtId="0" fontId="12" fillId="3" borderId="3" xfId="0" applyFont="1" applyFill="1" applyBorder="1" applyProtection="1"/>
    <xf numFmtId="0" fontId="21" fillId="3" borderId="3" xfId="0" applyFont="1" applyFill="1" applyBorder="1" applyProtection="1">
      <protection locked="0"/>
    </xf>
    <xf numFmtId="0" fontId="13" fillId="3" borderId="0" xfId="0" applyFont="1" applyFill="1" applyBorder="1"/>
    <xf numFmtId="11" fontId="12" fillId="3" borderId="3" xfId="0" applyNumberFormat="1" applyFont="1" applyFill="1" applyBorder="1" applyAlignment="1" applyProtection="1">
      <alignment horizontal="center" wrapText="1"/>
    </xf>
    <xf numFmtId="0" fontId="12" fillId="3" borderId="0" xfId="0" applyFont="1" applyFill="1" applyProtection="1"/>
    <xf numFmtId="0" fontId="18" fillId="3" borderId="3" xfId="0" applyFont="1" applyFill="1" applyBorder="1" applyProtection="1">
      <protection locked="0"/>
    </xf>
    <xf numFmtId="0" fontId="21" fillId="3" borderId="0" xfId="0" applyFont="1" applyFill="1" applyBorder="1" applyProtection="1"/>
    <xf numFmtId="0" fontId="12" fillId="3" borderId="0" xfId="0" applyFont="1" applyFill="1" applyBorder="1" applyProtection="1"/>
    <xf numFmtId="0" fontId="20" fillId="3" borderId="0" xfId="0" applyFont="1" applyFill="1"/>
    <xf numFmtId="0" fontId="12" fillId="3" borderId="1" xfId="0" applyFont="1" applyFill="1" applyBorder="1" applyAlignment="1">
      <alignment horizontal="center" wrapText="1"/>
    </xf>
    <xf numFmtId="14" fontId="12" fillId="3" borderId="1" xfId="0" applyNumberFormat="1" applyFont="1" applyFill="1" applyBorder="1" applyAlignment="1">
      <alignment horizontal="center" wrapText="1"/>
    </xf>
    <xf numFmtId="0" fontId="12" fillId="3" borderId="1" xfId="0" applyFont="1" applyFill="1" applyBorder="1" applyAlignment="1">
      <alignment wrapText="1"/>
    </xf>
    <xf numFmtId="0" fontId="12" fillId="3" borderId="1" xfId="0" applyFont="1" applyFill="1" applyBorder="1" applyAlignment="1">
      <alignment horizontal="center"/>
    </xf>
    <xf numFmtId="0" fontId="12" fillId="3" borderId="0" xfId="0" applyFont="1" applyFill="1"/>
    <xf numFmtId="16" fontId="20" fillId="3" borderId="0" xfId="0" applyNumberFormat="1" applyFont="1" applyFill="1" applyAlignment="1">
      <alignment horizontal="center"/>
    </xf>
    <xf numFmtId="168" fontId="20" fillId="3" borderId="0" xfId="0" applyNumberFormat="1" applyFont="1" applyFill="1" applyAlignment="1">
      <alignment horizontal="center"/>
    </xf>
    <xf numFmtId="169" fontId="20" fillId="3" borderId="0" xfId="0" applyNumberFormat="1" applyFont="1" applyFill="1" applyAlignment="1">
      <alignment horizontal="center"/>
    </xf>
    <xf numFmtId="165" fontId="20" fillId="3" borderId="0" xfId="0" applyNumberFormat="1" applyFont="1" applyFill="1" applyAlignment="1">
      <alignment horizontal="center"/>
    </xf>
    <xf numFmtId="166" fontId="20" fillId="3" borderId="0" xfId="0" applyNumberFormat="1" applyFont="1" applyFill="1" applyAlignment="1">
      <alignment horizontal="center"/>
    </xf>
    <xf numFmtId="164" fontId="20" fillId="3" borderId="0" xfId="0" applyNumberFormat="1" applyFont="1" applyFill="1" applyAlignment="1">
      <alignment horizontal="center"/>
    </xf>
    <xf numFmtId="9" fontId="20" fillId="3" borderId="0" xfId="0" applyNumberFormat="1" applyFont="1" applyFill="1" applyAlignment="1">
      <alignment horizontal="center"/>
    </xf>
    <xf numFmtId="2" fontId="20" fillId="3" borderId="0" xfId="0" applyNumberFormat="1" applyFont="1" applyFill="1" applyAlignment="1">
      <alignment horizontal="center"/>
    </xf>
    <xf numFmtId="11" fontId="20" fillId="3" borderId="0" xfId="0" applyNumberFormat="1" applyFont="1" applyFill="1" applyAlignment="1">
      <alignment horizontal="center"/>
    </xf>
    <xf numFmtId="167" fontId="20" fillId="3" borderId="0" xfId="0" applyNumberFormat="1" applyFont="1" applyFill="1"/>
    <xf numFmtId="166" fontId="20" fillId="3" borderId="0" xfId="0" applyNumberFormat="1" applyFont="1" applyFill="1"/>
    <xf numFmtId="0" fontId="20" fillId="3" borderId="0" xfId="0" applyFont="1" applyFill="1" applyAlignment="1">
      <alignment horizontal="center"/>
    </xf>
    <xf numFmtId="0" fontId="22" fillId="3" borderId="0" xfId="0" applyFont="1" applyFill="1"/>
    <xf numFmtId="11" fontId="20" fillId="3" borderId="0" xfId="0" applyNumberFormat="1" applyFont="1" applyFill="1"/>
    <xf numFmtId="20" fontId="12" fillId="3" borderId="1" xfId="0" applyNumberFormat="1" applyFont="1" applyFill="1" applyBorder="1" applyAlignment="1">
      <alignment horizontal="center" wrapText="1"/>
    </xf>
    <xf numFmtId="0" fontId="12" fillId="3" borderId="1" xfId="0" applyFont="1" applyFill="1" applyBorder="1"/>
    <xf numFmtId="11" fontId="12" fillId="0" borderId="1" xfId="0" applyNumberFormat="1" applyFont="1" applyBorder="1" applyAlignment="1">
      <alignment horizontal="center" vertical="center" wrapText="1"/>
    </xf>
    <xf numFmtId="11" fontId="20" fillId="0" borderId="0" xfId="0" applyNumberFormat="1" applyFont="1"/>
    <xf numFmtId="11" fontId="20" fillId="0" borderId="0" xfId="0" applyNumberFormat="1" applyFont="1" applyAlignment="1">
      <alignment horizontal="center"/>
    </xf>
    <xf numFmtId="2" fontId="20" fillId="0" borderId="0" xfId="0" applyNumberFormat="1" applyFont="1" applyAlignment="1">
      <alignment horizontal="center"/>
    </xf>
    <xf numFmtId="167" fontId="20" fillId="0" borderId="0" xfId="0" applyNumberFormat="1" applyFont="1" applyAlignment="1">
      <alignment horizontal="center"/>
    </xf>
    <xf numFmtId="0" fontId="19" fillId="3" borderId="0" xfId="0" applyFont="1" applyFill="1"/>
    <xf numFmtId="0" fontId="20" fillId="3" borderId="3" xfId="0" applyFont="1" applyFill="1" applyBorder="1"/>
    <xf numFmtId="0" fontId="12" fillId="4" borderId="3" xfId="0" applyFont="1" applyFill="1" applyBorder="1"/>
    <xf numFmtId="14" fontId="20" fillId="3" borderId="3" xfId="0" applyNumberFormat="1" applyFont="1" applyFill="1" applyBorder="1"/>
    <xf numFmtId="11" fontId="20" fillId="3" borderId="3" xfId="0" applyNumberFormat="1" applyFont="1" applyFill="1" applyBorder="1"/>
    <xf numFmtId="169" fontId="20" fillId="3" borderId="3" xfId="0" applyNumberFormat="1" applyFont="1" applyFill="1" applyBorder="1"/>
    <xf numFmtId="0" fontId="12" fillId="4" borderId="12" xfId="0" applyFont="1" applyFill="1" applyBorder="1" applyAlignment="1">
      <alignment horizontal="center" wrapText="1"/>
    </xf>
    <xf numFmtId="0" fontId="12" fillId="4" borderId="13" xfId="0" applyFont="1" applyFill="1" applyBorder="1" applyAlignment="1">
      <alignment horizontal="center" wrapText="1"/>
    </xf>
    <xf numFmtId="0" fontId="12" fillId="4" borderId="14" xfId="0" applyFont="1" applyFill="1" applyBorder="1" applyAlignment="1">
      <alignment horizontal="center" wrapText="1"/>
    </xf>
    <xf numFmtId="0" fontId="12" fillId="3" borderId="0" xfId="0" applyFont="1" applyFill="1" applyBorder="1" applyAlignment="1">
      <alignment horizontal="center" wrapText="1"/>
    </xf>
    <xf numFmtId="0" fontId="20" fillId="3" borderId="12" xfId="0" applyFont="1" applyFill="1" applyBorder="1" applyAlignment="1">
      <alignment horizontal="center"/>
    </xf>
    <xf numFmtId="11" fontId="20" fillId="3" borderId="13" xfId="0" applyNumberFormat="1" applyFont="1" applyFill="1" applyBorder="1" applyAlignment="1">
      <alignment horizontal="center"/>
    </xf>
    <xf numFmtId="164" fontId="20" fillId="3" borderId="13" xfId="0" applyNumberFormat="1" applyFont="1" applyFill="1" applyBorder="1" applyAlignment="1">
      <alignment horizontal="center"/>
    </xf>
    <xf numFmtId="9" fontId="20" fillId="3" borderId="13" xfId="2" applyFont="1" applyFill="1" applyBorder="1" applyAlignment="1">
      <alignment horizontal="center"/>
    </xf>
    <xf numFmtId="2" fontId="20" fillId="3" borderId="13" xfId="0" applyNumberFormat="1" applyFont="1" applyFill="1" applyBorder="1" applyAlignment="1">
      <alignment horizontal="center"/>
    </xf>
    <xf numFmtId="167" fontId="20" fillId="3" borderId="13" xfId="0" applyNumberFormat="1" applyFont="1" applyFill="1" applyBorder="1" applyAlignment="1">
      <alignment horizontal="center"/>
    </xf>
    <xf numFmtId="167" fontId="20" fillId="3" borderId="14" xfId="0" applyNumberFormat="1" applyFont="1" applyFill="1" applyBorder="1" applyAlignment="1">
      <alignment horizontal="center"/>
    </xf>
    <xf numFmtId="2" fontId="20" fillId="3" borderId="0" xfId="0" applyNumberFormat="1" applyFont="1" applyFill="1" applyBorder="1" applyAlignment="1">
      <alignment horizontal="center"/>
    </xf>
    <xf numFmtId="11" fontId="24" fillId="3" borderId="0" xfId="0" applyNumberFormat="1" applyFont="1" applyFill="1" applyAlignment="1">
      <alignment horizontal="center"/>
    </xf>
    <xf numFmtId="167" fontId="20" fillId="3" borderId="0" xfId="0" applyNumberFormat="1" applyFont="1" applyFill="1" applyAlignment="1">
      <alignment horizontal="center"/>
    </xf>
    <xf numFmtId="0" fontId="20" fillId="2" borderId="3" xfId="0" applyFont="1" applyFill="1" applyBorder="1" applyProtection="1"/>
    <xf numFmtId="0" fontId="15" fillId="2" borderId="10" xfId="0" applyFont="1" applyFill="1" applyBorder="1" applyAlignment="1">
      <alignment horizontal="center" vertical="center" wrapText="1"/>
    </xf>
    <xf numFmtId="0" fontId="15" fillId="2" borderId="11" xfId="0" applyFont="1" applyFill="1" applyBorder="1" applyAlignment="1">
      <alignment horizontal="center" vertical="center" wrapText="1"/>
    </xf>
    <xf numFmtId="0" fontId="15" fillId="2" borderId="8"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15" fillId="2" borderId="9" xfId="0" applyFont="1" applyFill="1" applyBorder="1" applyAlignment="1">
      <alignment horizontal="center" vertical="center" wrapText="1"/>
    </xf>
    <xf numFmtId="0" fontId="12" fillId="3" borderId="5" xfId="0" applyFont="1" applyFill="1" applyBorder="1" applyAlignment="1" applyProtection="1">
      <alignment horizontal="center"/>
    </xf>
    <xf numFmtId="0" fontId="12" fillId="3" borderId="7" xfId="0" applyFont="1" applyFill="1" applyBorder="1" applyAlignment="1" applyProtection="1">
      <alignment horizontal="center"/>
    </xf>
    <xf numFmtId="0" fontId="12" fillId="3" borderId="3" xfId="0" applyFont="1" applyFill="1" applyBorder="1" applyAlignment="1" applyProtection="1">
      <alignment horizontal="center"/>
    </xf>
    <xf numFmtId="0" fontId="20" fillId="3" borderId="2" xfId="0" applyFont="1" applyFill="1" applyBorder="1" applyProtection="1"/>
    <xf numFmtId="0" fontId="20" fillId="3" borderId="0" xfId="0" applyFont="1" applyFill="1" applyBorder="1" applyProtection="1"/>
    <xf numFmtId="0" fontId="8" fillId="3" borderId="0" xfId="1" applyFont="1" applyFill="1"/>
    <xf numFmtId="0" fontId="8" fillId="3" borderId="0" xfId="0" applyFont="1" applyFill="1"/>
    <xf numFmtId="0" fontId="1" fillId="3" borderId="0" xfId="1" applyFont="1" applyFill="1"/>
  </cellXfs>
  <cellStyles count="3">
    <cellStyle name="Normal" xfId="0" builtinId="0"/>
    <cellStyle name="Normal_CommandLineGenerator" xfId="1"/>
    <cellStyle name="Percent" xfId="2"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3A2BF9"/>
      <color rgb="FF159B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Illumination and Test Cell Voc</a:t>
            </a:r>
          </a:p>
        </c:rich>
      </c:tx>
      <c:layout>
        <c:manualLayout>
          <c:xMode val="edge"/>
          <c:yMode val="edge"/>
          <c:x val="0.27763754688626363"/>
          <c:y val="1.771217918030964E-2"/>
        </c:manualLayout>
      </c:layout>
      <c:overlay val="0"/>
    </c:title>
    <c:autoTitleDeleted val="0"/>
    <c:plotArea>
      <c:layout>
        <c:manualLayout>
          <c:layoutTarget val="inner"/>
          <c:xMode val="edge"/>
          <c:yMode val="edge"/>
          <c:x val="0.14727571099501663"/>
          <c:y val="0.14799231377466393"/>
          <c:w val="0.73419450675740128"/>
          <c:h val="0.71454205528243386"/>
        </c:manualLayout>
      </c:layout>
      <c:scatterChart>
        <c:scatterStyle val="smoothMarker"/>
        <c:varyColors val="0"/>
        <c:ser>
          <c:idx val="0"/>
          <c:order val="0"/>
          <c:tx>
            <c:v>Light Intensity</c:v>
          </c:tx>
          <c:spPr>
            <a:ln>
              <a:solidFill>
                <a:srgbClr val="3A2BF9"/>
              </a:solidFill>
            </a:ln>
          </c:spPr>
          <c:marker>
            <c:symbol val="square"/>
            <c:size val="3"/>
            <c:spPr>
              <a:solidFill>
                <a:srgbClr val="3A2BF9"/>
              </a:solidFill>
              <a:ln>
                <a:solidFill>
                  <a:sysClr val="windowText" lastClr="000000">
                    <a:alpha val="44000"/>
                  </a:sysClr>
                </a:solidFill>
              </a:ln>
            </c:spPr>
          </c:marker>
          <c:xVal>
            <c:numRef>
              <c:f>Calc!$A$9:$A$132</c:f>
              <c:numCache>
                <c:formatCode>0.00E+00</c:formatCode>
                <c:ptCount val="124"/>
                <c:pt idx="0">
                  <c:v>5.1999999999999997E-5</c:v>
                </c:pt>
                <c:pt idx="1">
                  <c:v>1.56E-4</c:v>
                </c:pt>
                <c:pt idx="2">
                  <c:v>2.5999999999999998E-4</c:v>
                </c:pt>
                <c:pt idx="3">
                  <c:v>3.6400000000000001E-4</c:v>
                </c:pt>
                <c:pt idx="4">
                  <c:v>4.6799999999999999E-4</c:v>
                </c:pt>
                <c:pt idx="5">
                  <c:v>5.7200000000000003E-4</c:v>
                </c:pt>
                <c:pt idx="6">
                  <c:v>6.7599999999999995E-4</c:v>
                </c:pt>
                <c:pt idx="7">
                  <c:v>7.7999999999999999E-4</c:v>
                </c:pt>
                <c:pt idx="8">
                  <c:v>8.8400000000000002E-4</c:v>
                </c:pt>
                <c:pt idx="9">
                  <c:v>9.8799999999999995E-4</c:v>
                </c:pt>
                <c:pt idx="10">
                  <c:v>1.0920000000000001E-3</c:v>
                </c:pt>
                <c:pt idx="11">
                  <c:v>1.196E-3</c:v>
                </c:pt>
                <c:pt idx="12">
                  <c:v>1.2999999999999999E-3</c:v>
                </c:pt>
                <c:pt idx="13">
                  <c:v>1.4040000000000001E-3</c:v>
                </c:pt>
                <c:pt idx="14">
                  <c:v>1.508E-3</c:v>
                </c:pt>
                <c:pt idx="15">
                  <c:v>1.6119999999999999E-3</c:v>
                </c:pt>
                <c:pt idx="16">
                  <c:v>1.7160000000000001E-3</c:v>
                </c:pt>
                <c:pt idx="17">
                  <c:v>1.82E-3</c:v>
                </c:pt>
                <c:pt idx="18">
                  <c:v>1.9239999999999999E-3</c:v>
                </c:pt>
                <c:pt idx="19">
                  <c:v>2.0279999999999999E-3</c:v>
                </c:pt>
                <c:pt idx="20">
                  <c:v>2.1320000000000002E-3</c:v>
                </c:pt>
                <c:pt idx="21">
                  <c:v>2.2360000000000001E-3</c:v>
                </c:pt>
                <c:pt idx="22">
                  <c:v>2.3400000000000001E-3</c:v>
                </c:pt>
                <c:pt idx="23">
                  <c:v>2.444E-3</c:v>
                </c:pt>
                <c:pt idx="24">
                  <c:v>2.5479999999999999E-3</c:v>
                </c:pt>
                <c:pt idx="25">
                  <c:v>2.6519999999999998E-3</c:v>
                </c:pt>
                <c:pt idx="26">
                  <c:v>2.7560000000000002E-3</c:v>
                </c:pt>
                <c:pt idx="27">
                  <c:v>2.8600000000000001E-3</c:v>
                </c:pt>
                <c:pt idx="28">
                  <c:v>2.9640000000000001E-3</c:v>
                </c:pt>
                <c:pt idx="29">
                  <c:v>3.068E-3</c:v>
                </c:pt>
                <c:pt idx="30">
                  <c:v>3.1719999999999999E-3</c:v>
                </c:pt>
                <c:pt idx="31">
                  <c:v>3.2759999999999998E-3</c:v>
                </c:pt>
                <c:pt idx="32">
                  <c:v>3.3800000000000002E-3</c:v>
                </c:pt>
                <c:pt idx="33">
                  <c:v>3.4840000000000001E-3</c:v>
                </c:pt>
                <c:pt idx="34">
                  <c:v>3.588E-3</c:v>
                </c:pt>
                <c:pt idx="35">
                  <c:v>3.692E-3</c:v>
                </c:pt>
                <c:pt idx="36">
                  <c:v>3.7959999999999999E-3</c:v>
                </c:pt>
                <c:pt idx="37">
                  <c:v>3.8999999999999998E-3</c:v>
                </c:pt>
                <c:pt idx="38">
                  <c:v>4.0039999999999997E-3</c:v>
                </c:pt>
                <c:pt idx="39">
                  <c:v>4.1079999999999997E-3</c:v>
                </c:pt>
                <c:pt idx="40">
                  <c:v>4.2119999999999996E-3</c:v>
                </c:pt>
                <c:pt idx="41">
                  <c:v>4.3160000000000004E-3</c:v>
                </c:pt>
                <c:pt idx="42">
                  <c:v>4.4200000000000003E-3</c:v>
                </c:pt>
                <c:pt idx="43">
                  <c:v>4.5240000000000002E-3</c:v>
                </c:pt>
                <c:pt idx="44">
                  <c:v>4.6280000000000002E-3</c:v>
                </c:pt>
                <c:pt idx="45">
                  <c:v>4.7320000000000001E-3</c:v>
                </c:pt>
                <c:pt idx="46">
                  <c:v>4.836E-3</c:v>
                </c:pt>
                <c:pt idx="47">
                  <c:v>4.9399999999999999E-3</c:v>
                </c:pt>
                <c:pt idx="48">
                  <c:v>5.0439999999999999E-3</c:v>
                </c:pt>
                <c:pt idx="49">
                  <c:v>5.1479999999999998E-3</c:v>
                </c:pt>
                <c:pt idx="50">
                  <c:v>5.2519999999999997E-3</c:v>
                </c:pt>
                <c:pt idx="51">
                  <c:v>5.3559999999999997E-3</c:v>
                </c:pt>
                <c:pt idx="52">
                  <c:v>5.4599999999999996E-3</c:v>
                </c:pt>
                <c:pt idx="53">
                  <c:v>5.5640000000000004E-3</c:v>
                </c:pt>
                <c:pt idx="54">
                  <c:v>5.6680000000000003E-3</c:v>
                </c:pt>
                <c:pt idx="55">
                  <c:v>5.7720000000000002E-3</c:v>
                </c:pt>
                <c:pt idx="56">
                  <c:v>5.8760000000000001E-3</c:v>
                </c:pt>
                <c:pt idx="57">
                  <c:v>5.9800000000000001E-3</c:v>
                </c:pt>
                <c:pt idx="58">
                  <c:v>6.084E-3</c:v>
                </c:pt>
                <c:pt idx="59">
                  <c:v>6.1879999999999999E-3</c:v>
                </c:pt>
                <c:pt idx="60">
                  <c:v>6.2919999999999998E-3</c:v>
                </c:pt>
                <c:pt idx="61">
                  <c:v>6.3959999999999998E-3</c:v>
                </c:pt>
                <c:pt idx="62">
                  <c:v>6.4999999999999997E-3</c:v>
                </c:pt>
                <c:pt idx="63">
                  <c:v>6.6039999999999996E-3</c:v>
                </c:pt>
                <c:pt idx="64">
                  <c:v>6.7080000000000004E-3</c:v>
                </c:pt>
                <c:pt idx="65">
                  <c:v>6.8120000000000003E-3</c:v>
                </c:pt>
                <c:pt idx="66">
                  <c:v>6.9160000000000003E-3</c:v>
                </c:pt>
                <c:pt idx="67">
                  <c:v>7.0200000000000002E-3</c:v>
                </c:pt>
                <c:pt idx="68">
                  <c:v>7.1240000000000001E-3</c:v>
                </c:pt>
                <c:pt idx="69">
                  <c:v>7.228E-3</c:v>
                </c:pt>
                <c:pt idx="70">
                  <c:v>7.332E-3</c:v>
                </c:pt>
                <c:pt idx="71">
                  <c:v>7.4359999999999999E-3</c:v>
                </c:pt>
                <c:pt idx="72">
                  <c:v>7.5399999999999998E-3</c:v>
                </c:pt>
                <c:pt idx="73">
                  <c:v>7.6439999999999998E-3</c:v>
                </c:pt>
                <c:pt idx="74">
                  <c:v>7.7479999999999997E-3</c:v>
                </c:pt>
                <c:pt idx="75">
                  <c:v>7.8519999999999996E-3</c:v>
                </c:pt>
                <c:pt idx="76">
                  <c:v>7.9559999999999995E-3</c:v>
                </c:pt>
                <c:pt idx="77">
                  <c:v>8.0599999999999995E-3</c:v>
                </c:pt>
                <c:pt idx="78">
                  <c:v>8.1639999999999994E-3</c:v>
                </c:pt>
                <c:pt idx="79">
                  <c:v>8.2679999999999993E-3</c:v>
                </c:pt>
                <c:pt idx="80">
                  <c:v>8.3719999999999992E-3</c:v>
                </c:pt>
                <c:pt idx="81">
                  <c:v>8.4759999999999992E-3</c:v>
                </c:pt>
                <c:pt idx="82">
                  <c:v>8.5800000000000008E-3</c:v>
                </c:pt>
                <c:pt idx="83">
                  <c:v>8.6840000000000007E-3</c:v>
                </c:pt>
                <c:pt idx="84">
                  <c:v>8.7880000000000007E-3</c:v>
                </c:pt>
                <c:pt idx="85">
                  <c:v>8.8920000000000006E-3</c:v>
                </c:pt>
                <c:pt idx="86">
                  <c:v>8.9960000000000005E-3</c:v>
                </c:pt>
                <c:pt idx="87">
                  <c:v>9.1000000000000004E-3</c:v>
                </c:pt>
                <c:pt idx="88">
                  <c:v>9.2040000000000004E-3</c:v>
                </c:pt>
                <c:pt idx="89">
                  <c:v>9.3080000000000003E-3</c:v>
                </c:pt>
                <c:pt idx="90">
                  <c:v>9.4120000000000002E-3</c:v>
                </c:pt>
                <c:pt idx="91">
                  <c:v>9.5160000000000002E-3</c:v>
                </c:pt>
                <c:pt idx="92">
                  <c:v>9.6200000000000001E-3</c:v>
                </c:pt>
                <c:pt idx="93">
                  <c:v>9.724E-3</c:v>
                </c:pt>
                <c:pt idx="94">
                  <c:v>9.8279999999999999E-3</c:v>
                </c:pt>
                <c:pt idx="95">
                  <c:v>9.9319999999999999E-3</c:v>
                </c:pt>
                <c:pt idx="96">
                  <c:v>1.0036E-2</c:v>
                </c:pt>
                <c:pt idx="97">
                  <c:v>1.014E-2</c:v>
                </c:pt>
                <c:pt idx="98">
                  <c:v>1.0244E-2</c:v>
                </c:pt>
                <c:pt idx="99">
                  <c:v>1.0348E-2</c:v>
                </c:pt>
                <c:pt idx="100">
                  <c:v>1.0451999999999999E-2</c:v>
                </c:pt>
                <c:pt idx="101">
                  <c:v>1.0555999999999999E-2</c:v>
                </c:pt>
                <c:pt idx="102">
                  <c:v>1.0659999999999999E-2</c:v>
                </c:pt>
                <c:pt idx="103">
                  <c:v>1.0763999999999999E-2</c:v>
                </c:pt>
                <c:pt idx="104">
                  <c:v>1.0867999999999999E-2</c:v>
                </c:pt>
                <c:pt idx="105">
                  <c:v>1.0972000000000001E-2</c:v>
                </c:pt>
                <c:pt idx="106">
                  <c:v>1.1076000000000001E-2</c:v>
                </c:pt>
                <c:pt idx="107">
                  <c:v>1.1180000000000001E-2</c:v>
                </c:pt>
                <c:pt idx="108">
                  <c:v>1.1284000000000001E-2</c:v>
                </c:pt>
                <c:pt idx="109">
                  <c:v>1.1388000000000001E-2</c:v>
                </c:pt>
                <c:pt idx="110">
                  <c:v>1.1492E-2</c:v>
                </c:pt>
                <c:pt idx="111">
                  <c:v>1.1596E-2</c:v>
                </c:pt>
                <c:pt idx="112">
                  <c:v>1.17E-2</c:v>
                </c:pt>
                <c:pt idx="113">
                  <c:v>1.1804E-2</c:v>
                </c:pt>
                <c:pt idx="114">
                  <c:v>1.1908E-2</c:v>
                </c:pt>
                <c:pt idx="115">
                  <c:v>1.2012E-2</c:v>
                </c:pt>
                <c:pt idx="116">
                  <c:v>1.2116E-2</c:v>
                </c:pt>
                <c:pt idx="117">
                  <c:v>1.222E-2</c:v>
                </c:pt>
                <c:pt idx="118">
                  <c:v>1.2324E-2</c:v>
                </c:pt>
                <c:pt idx="119">
                  <c:v>1.2428E-2</c:v>
                </c:pt>
                <c:pt idx="120">
                  <c:v>1.2532E-2</c:v>
                </c:pt>
                <c:pt idx="121">
                  <c:v>1.2636E-2</c:v>
                </c:pt>
                <c:pt idx="122">
                  <c:v>1.274E-2</c:v>
                </c:pt>
                <c:pt idx="123">
                  <c:v>1.2844E-2</c:v>
                </c:pt>
              </c:numCache>
            </c:numRef>
          </c:xVal>
          <c:yVal>
            <c:numRef>
              <c:f>Calc!$J$9:$J$132</c:f>
              <c:numCache>
                <c:formatCode>0.000</c:formatCode>
                <c:ptCount val="124"/>
                <c:pt idx="0">
                  <c:v>3.3578094110260315</c:v>
                </c:pt>
                <c:pt idx="1">
                  <c:v>4.9267677481976637</c:v>
                </c:pt>
                <c:pt idx="2">
                  <c:v>5.285639340061314</c:v>
                </c:pt>
                <c:pt idx="3">
                  <c:v>5.4513032554814274</c:v>
                </c:pt>
                <c:pt idx="4">
                  <c:v>5.4559047716402027</c:v>
                </c:pt>
                <c:pt idx="5">
                  <c:v>5.3755789135014069</c:v>
                </c:pt>
                <c:pt idx="6">
                  <c:v>5.2350973319481851</c:v>
                </c:pt>
                <c:pt idx="7">
                  <c:v>5.0363454352240957</c:v>
                </c:pt>
                <c:pt idx="8">
                  <c:v>4.7779325014069087</c:v>
                </c:pt>
                <c:pt idx="9">
                  <c:v>4.4821847508856569</c:v>
                </c:pt>
                <c:pt idx="10">
                  <c:v>4.1903571561183313</c:v>
                </c:pt>
                <c:pt idx="11">
                  <c:v>3.9282760765599707</c:v>
                </c:pt>
                <c:pt idx="12">
                  <c:v>3.6883998792363526</c:v>
                </c:pt>
                <c:pt idx="13">
                  <c:v>3.4669297465478381</c:v>
                </c:pt>
                <c:pt idx="14">
                  <c:v>3.2610095650165674</c:v>
                </c:pt>
                <c:pt idx="15">
                  <c:v>3.0676618830103894</c:v>
                </c:pt>
                <c:pt idx="16">
                  <c:v>2.8879320753970203</c:v>
                </c:pt>
                <c:pt idx="17">
                  <c:v>2.7197200587368551</c:v>
                </c:pt>
                <c:pt idx="18">
                  <c:v>2.5611310910821623</c:v>
                </c:pt>
                <c:pt idx="19">
                  <c:v>2.4137332347345133</c:v>
                </c:pt>
                <c:pt idx="20">
                  <c:v>2.2757904207171689</c:v>
                </c:pt>
                <c:pt idx="21">
                  <c:v>2.1466119549211036</c:v>
                </c:pt>
                <c:pt idx="22">
                  <c:v>2.0246764435656268</c:v>
                </c:pt>
                <c:pt idx="23">
                  <c:v>1.91068391446394</c:v>
                </c:pt>
                <c:pt idx="24">
                  <c:v>1.8046903698410992</c:v>
                </c:pt>
                <c:pt idx="25">
                  <c:v>1.704875737382781</c:v>
                </c:pt>
                <c:pt idx="26">
                  <c:v>1.6111280126388736</c:v>
                </c:pt>
                <c:pt idx="27">
                  <c:v>1.5231111822590402</c:v>
                </c:pt>
                <c:pt idx="28">
                  <c:v>1.4397612039672147</c:v>
                </c:pt>
                <c:pt idx="29">
                  <c:v>1.3615820977889026</c:v>
                </c:pt>
                <c:pt idx="30">
                  <c:v>1.2882565177821186</c:v>
                </c:pt>
                <c:pt idx="31">
                  <c:v>1.219653792088399</c:v>
                </c:pt>
                <c:pt idx="32">
                  <c:v>1.15482188288179</c:v>
                </c:pt>
                <c:pt idx="33">
                  <c:v>1.0941901405543881</c:v>
                </c:pt>
                <c:pt idx="34">
                  <c:v>1.0366571880134239</c:v>
                </c:pt>
                <c:pt idx="35">
                  <c:v>0.98240969934241729</c:v>
                </c:pt>
                <c:pt idx="36">
                  <c:v>0.93156901269565662</c:v>
                </c:pt>
                <c:pt idx="37">
                  <c:v>0.88311775431795614</c:v>
                </c:pt>
                <c:pt idx="38">
                  <c:v>0.83701858939261176</c:v>
                </c:pt>
                <c:pt idx="39">
                  <c:v>0.79420488833722502</c:v>
                </c:pt>
                <c:pt idx="40">
                  <c:v>0.75330459663792171</c:v>
                </c:pt>
                <c:pt idx="41">
                  <c:v>0.71502707581207892</c:v>
                </c:pt>
                <c:pt idx="42">
                  <c:v>0.67900831139683204</c:v>
                </c:pt>
                <c:pt idx="43">
                  <c:v>0.64509896412536494</c:v>
                </c:pt>
                <c:pt idx="44">
                  <c:v>0.6125336702552443</c:v>
                </c:pt>
                <c:pt idx="45">
                  <c:v>0.58215246316231128</c:v>
                </c:pt>
                <c:pt idx="46">
                  <c:v>0.55331131725842098</c:v>
                </c:pt>
                <c:pt idx="47">
                  <c:v>0.52579555734752492</c:v>
                </c:pt>
                <c:pt idx="48">
                  <c:v>0.4999318630757838</c:v>
                </c:pt>
                <c:pt idx="49">
                  <c:v>0.47526288293857283</c:v>
                </c:pt>
                <c:pt idx="50">
                  <c:v>0.45200329213194024</c:v>
                </c:pt>
                <c:pt idx="51">
                  <c:v>0.4299384154598378</c:v>
                </c:pt>
                <c:pt idx="52">
                  <c:v>0.40909625403479344</c:v>
                </c:pt>
                <c:pt idx="53">
                  <c:v>0.38941147192757514</c:v>
                </c:pt>
                <c:pt idx="54">
                  <c:v>0.37052938837949417</c:v>
                </c:pt>
                <c:pt idx="55">
                  <c:v>0.35280468414923927</c:v>
                </c:pt>
                <c:pt idx="56">
                  <c:v>0.33574267291548154</c:v>
                </c:pt>
                <c:pt idx="57">
                  <c:v>0.31947402653668516</c:v>
                </c:pt>
                <c:pt idx="58">
                  <c:v>0.30389607426691395</c:v>
                </c:pt>
                <c:pt idx="59">
                  <c:v>0.28892481276858384</c:v>
                </c:pt>
                <c:pt idx="60">
                  <c:v>0.27487758798367939</c:v>
                </c:pt>
                <c:pt idx="61">
                  <c:v>0.26166106287044033</c:v>
                </c:pt>
                <c:pt idx="62">
                  <c:v>0.24901389371193827</c:v>
                </c:pt>
                <c:pt idx="63">
                  <c:v>0.23727209385850978</c:v>
                </c:pt>
                <c:pt idx="64">
                  <c:v>0.22584763994706586</c:v>
                </c:pt>
                <c:pt idx="65">
                  <c:v>0.21511388014464716</c:v>
                </c:pt>
                <c:pt idx="66">
                  <c:v>0.20494947629696539</c:v>
                </c:pt>
                <c:pt idx="67">
                  <c:v>0.19506508357456417</c:v>
                </c:pt>
                <c:pt idx="68">
                  <c:v>0.1856847108776678</c:v>
                </c:pt>
                <c:pt idx="69">
                  <c:v>0.17681769191045235</c:v>
                </c:pt>
                <c:pt idx="70">
                  <c:v>0.16850136148962186</c:v>
                </c:pt>
                <c:pt idx="71">
                  <c:v>0.16056771294000802</c:v>
                </c:pt>
                <c:pt idx="72">
                  <c:v>0.15291407551567468</c:v>
                </c:pt>
                <c:pt idx="73">
                  <c:v>0.14555911662497384</c:v>
                </c:pt>
                <c:pt idx="74">
                  <c:v>0.13883884961824211</c:v>
                </c:pt>
                <c:pt idx="75">
                  <c:v>0.13218391854074252</c:v>
                </c:pt>
                <c:pt idx="76">
                  <c:v>0.12607034230545186</c:v>
                </c:pt>
                <c:pt idx="77">
                  <c:v>0.12007810422444941</c:v>
                </c:pt>
                <c:pt idx="78">
                  <c:v>0.11425387281861525</c:v>
                </c:pt>
                <c:pt idx="79">
                  <c:v>0.10894299514246199</c:v>
                </c:pt>
                <c:pt idx="80">
                  <c:v>0.10370678709971685</c:v>
                </c:pt>
                <c:pt idx="81">
                  <c:v>9.8787924998956278E-2</c:v>
                </c:pt>
                <c:pt idx="82">
                  <c:v>9.4167741431828225E-2</c:v>
                </c:pt>
                <c:pt idx="83">
                  <c:v>8.949155563964406E-2</c:v>
                </c:pt>
                <c:pt idx="84">
                  <c:v>8.5123382085268443E-2</c:v>
                </c:pt>
                <c:pt idx="85">
                  <c:v>8.1072554472877381E-2</c:v>
                </c:pt>
                <c:pt idx="86">
                  <c:v>7.7199067239830638E-2</c:v>
                </c:pt>
                <c:pt idx="87">
                  <c:v>7.3577590019536301E-2</c:v>
                </c:pt>
                <c:pt idx="88">
                  <c:v>7.0086784657706222E-2</c:v>
                </c:pt>
                <c:pt idx="89">
                  <c:v>6.6409305212355815E-2</c:v>
                </c:pt>
                <c:pt idx="90">
                  <c:v>6.338518505932654E-2</c:v>
                </c:pt>
                <c:pt idx="91">
                  <c:v>6.010905489354483E-2</c:v>
                </c:pt>
                <c:pt idx="92">
                  <c:v>5.7196939190627745E-2</c:v>
                </c:pt>
                <c:pt idx="93">
                  <c:v>5.4452830162878961E-2</c:v>
                </c:pt>
                <c:pt idx="94">
                  <c:v>5.1587382980841964E-2</c:v>
                </c:pt>
                <c:pt idx="95">
                  <c:v>4.9281958049365943E-2</c:v>
                </c:pt>
                <c:pt idx="96">
                  <c:v>4.6808526442721633E-2</c:v>
                </c:pt>
                <c:pt idx="97">
                  <c:v>4.435376224442935E-2</c:v>
                </c:pt>
                <c:pt idx="98">
                  <c:v>4.1973667679545197E-2</c:v>
                </c:pt>
                <c:pt idx="99">
                  <c:v>3.9901585352469585E-2</c:v>
                </c:pt>
                <c:pt idx="100">
                  <c:v>3.8025510813090316E-2</c:v>
                </c:pt>
                <c:pt idx="101">
                  <c:v>3.5972095894366729E-2</c:v>
                </c:pt>
                <c:pt idx="102">
                  <c:v>3.3974683200699247E-2</c:v>
                </c:pt>
                <c:pt idx="103">
                  <c:v>3.2425288307480545E-2</c:v>
                </c:pt>
                <c:pt idx="104">
                  <c:v>3.0773222668325665E-2</c:v>
                </c:pt>
                <c:pt idx="105">
                  <c:v>2.9195826662578916E-2</c:v>
                </c:pt>
                <c:pt idx="106">
                  <c:v>2.7609096952656148E-2</c:v>
                </c:pt>
                <c:pt idx="107">
                  <c:v>2.6059702059437449E-2</c:v>
                </c:pt>
                <c:pt idx="108">
                  <c:v>2.4687647545563057E-2</c:v>
                </c:pt>
                <c:pt idx="109">
                  <c:v>2.3306259327512645E-2</c:v>
                </c:pt>
                <c:pt idx="110">
                  <c:v>2.2148880009686626E-2</c:v>
                </c:pt>
                <c:pt idx="111">
                  <c:v>2.1150173662852882E-2</c:v>
                </c:pt>
                <c:pt idx="112">
                  <c:v>1.9946125824146784E-2</c:v>
                </c:pt>
                <c:pt idx="113">
                  <c:v>1.885408243555288E-2</c:v>
                </c:pt>
                <c:pt idx="114">
                  <c:v>1.7790040159487024E-2</c:v>
                </c:pt>
                <c:pt idx="115">
                  <c:v>1.6968674191997591E-2</c:v>
                </c:pt>
                <c:pt idx="116">
                  <c:v>1.6025970070219948E-2</c:v>
                </c:pt>
                <c:pt idx="117">
                  <c:v>1.5148601877674419E-2</c:v>
                </c:pt>
                <c:pt idx="118">
                  <c:v>1.4355237022713034E-2</c:v>
                </c:pt>
                <c:pt idx="119">
                  <c:v>1.3561872167751652E-2</c:v>
                </c:pt>
                <c:pt idx="120">
                  <c:v>1.290851287543051E-2</c:v>
                </c:pt>
                <c:pt idx="121">
                  <c:v>1.0864431660882948E-2</c:v>
                </c:pt>
                <c:pt idx="122">
                  <c:v>3.1454583073174855E-3</c:v>
                </c:pt>
                <c:pt idx="123">
                  <c:v>1.3720545138743926E-3</c:v>
                </c:pt>
              </c:numCache>
            </c:numRef>
          </c:yVal>
          <c:smooth val="1"/>
        </c:ser>
        <c:dLbls>
          <c:showLegendKey val="0"/>
          <c:showVal val="0"/>
          <c:showCatName val="0"/>
          <c:showSerName val="0"/>
          <c:showPercent val="0"/>
          <c:showBubbleSize val="0"/>
        </c:dLbls>
        <c:axId val="263298136"/>
        <c:axId val="263222384"/>
      </c:scatterChart>
      <c:scatterChart>
        <c:scatterStyle val="smoothMarker"/>
        <c:varyColors val="0"/>
        <c:ser>
          <c:idx val="1"/>
          <c:order val="1"/>
          <c:tx>
            <c:v>Open-Circuit Voltage</c:v>
          </c:tx>
          <c:spPr>
            <a:ln>
              <a:solidFill>
                <a:srgbClr val="FF0000"/>
              </a:solidFill>
            </a:ln>
          </c:spPr>
          <c:marker>
            <c:symbol val="square"/>
            <c:size val="3"/>
            <c:spPr>
              <a:solidFill>
                <a:srgbClr val="FF0000"/>
              </a:solidFill>
              <a:ln>
                <a:solidFill>
                  <a:sysClr val="windowText" lastClr="000000">
                    <a:alpha val="38000"/>
                  </a:sysClr>
                </a:solidFill>
              </a:ln>
            </c:spPr>
          </c:marker>
          <c:xVal>
            <c:numRef>
              <c:f>Calc!$A$9:$A$132</c:f>
              <c:numCache>
                <c:formatCode>0.00E+00</c:formatCode>
                <c:ptCount val="124"/>
                <c:pt idx="0">
                  <c:v>5.1999999999999997E-5</c:v>
                </c:pt>
                <c:pt idx="1">
                  <c:v>1.56E-4</c:v>
                </c:pt>
                <c:pt idx="2">
                  <c:v>2.5999999999999998E-4</c:v>
                </c:pt>
                <c:pt idx="3">
                  <c:v>3.6400000000000001E-4</c:v>
                </c:pt>
                <c:pt idx="4">
                  <c:v>4.6799999999999999E-4</c:v>
                </c:pt>
                <c:pt idx="5">
                  <c:v>5.7200000000000003E-4</c:v>
                </c:pt>
                <c:pt idx="6">
                  <c:v>6.7599999999999995E-4</c:v>
                </c:pt>
                <c:pt idx="7">
                  <c:v>7.7999999999999999E-4</c:v>
                </c:pt>
                <c:pt idx="8">
                  <c:v>8.8400000000000002E-4</c:v>
                </c:pt>
                <c:pt idx="9">
                  <c:v>9.8799999999999995E-4</c:v>
                </c:pt>
                <c:pt idx="10">
                  <c:v>1.0920000000000001E-3</c:v>
                </c:pt>
                <c:pt idx="11">
                  <c:v>1.196E-3</c:v>
                </c:pt>
                <c:pt idx="12">
                  <c:v>1.2999999999999999E-3</c:v>
                </c:pt>
                <c:pt idx="13">
                  <c:v>1.4040000000000001E-3</c:v>
                </c:pt>
                <c:pt idx="14">
                  <c:v>1.508E-3</c:v>
                </c:pt>
                <c:pt idx="15">
                  <c:v>1.6119999999999999E-3</c:v>
                </c:pt>
                <c:pt idx="16">
                  <c:v>1.7160000000000001E-3</c:v>
                </c:pt>
                <c:pt idx="17">
                  <c:v>1.82E-3</c:v>
                </c:pt>
                <c:pt idx="18">
                  <c:v>1.9239999999999999E-3</c:v>
                </c:pt>
                <c:pt idx="19">
                  <c:v>2.0279999999999999E-3</c:v>
                </c:pt>
                <c:pt idx="20">
                  <c:v>2.1320000000000002E-3</c:v>
                </c:pt>
                <c:pt idx="21">
                  <c:v>2.2360000000000001E-3</c:v>
                </c:pt>
                <c:pt idx="22">
                  <c:v>2.3400000000000001E-3</c:v>
                </c:pt>
                <c:pt idx="23">
                  <c:v>2.444E-3</c:v>
                </c:pt>
                <c:pt idx="24">
                  <c:v>2.5479999999999999E-3</c:v>
                </c:pt>
                <c:pt idx="25">
                  <c:v>2.6519999999999998E-3</c:v>
                </c:pt>
                <c:pt idx="26">
                  <c:v>2.7560000000000002E-3</c:v>
                </c:pt>
                <c:pt idx="27">
                  <c:v>2.8600000000000001E-3</c:v>
                </c:pt>
                <c:pt idx="28">
                  <c:v>2.9640000000000001E-3</c:v>
                </c:pt>
                <c:pt idx="29">
                  <c:v>3.068E-3</c:v>
                </c:pt>
                <c:pt idx="30">
                  <c:v>3.1719999999999999E-3</c:v>
                </c:pt>
                <c:pt idx="31">
                  <c:v>3.2759999999999998E-3</c:v>
                </c:pt>
                <c:pt idx="32">
                  <c:v>3.3800000000000002E-3</c:v>
                </c:pt>
                <c:pt idx="33">
                  <c:v>3.4840000000000001E-3</c:v>
                </c:pt>
                <c:pt idx="34">
                  <c:v>3.588E-3</c:v>
                </c:pt>
                <c:pt idx="35">
                  <c:v>3.692E-3</c:v>
                </c:pt>
                <c:pt idx="36">
                  <c:v>3.7959999999999999E-3</c:v>
                </c:pt>
                <c:pt idx="37">
                  <c:v>3.8999999999999998E-3</c:v>
                </c:pt>
                <c:pt idx="38">
                  <c:v>4.0039999999999997E-3</c:v>
                </c:pt>
                <c:pt idx="39">
                  <c:v>4.1079999999999997E-3</c:v>
                </c:pt>
                <c:pt idx="40">
                  <c:v>4.2119999999999996E-3</c:v>
                </c:pt>
                <c:pt idx="41">
                  <c:v>4.3160000000000004E-3</c:v>
                </c:pt>
                <c:pt idx="42">
                  <c:v>4.4200000000000003E-3</c:v>
                </c:pt>
                <c:pt idx="43">
                  <c:v>4.5240000000000002E-3</c:v>
                </c:pt>
                <c:pt idx="44">
                  <c:v>4.6280000000000002E-3</c:v>
                </c:pt>
                <c:pt idx="45">
                  <c:v>4.7320000000000001E-3</c:v>
                </c:pt>
                <c:pt idx="46">
                  <c:v>4.836E-3</c:v>
                </c:pt>
                <c:pt idx="47">
                  <c:v>4.9399999999999999E-3</c:v>
                </c:pt>
                <c:pt idx="48">
                  <c:v>5.0439999999999999E-3</c:v>
                </c:pt>
                <c:pt idx="49">
                  <c:v>5.1479999999999998E-3</c:v>
                </c:pt>
                <c:pt idx="50">
                  <c:v>5.2519999999999997E-3</c:v>
                </c:pt>
                <c:pt idx="51">
                  <c:v>5.3559999999999997E-3</c:v>
                </c:pt>
                <c:pt idx="52">
                  <c:v>5.4599999999999996E-3</c:v>
                </c:pt>
                <c:pt idx="53">
                  <c:v>5.5640000000000004E-3</c:v>
                </c:pt>
                <c:pt idx="54">
                  <c:v>5.6680000000000003E-3</c:v>
                </c:pt>
                <c:pt idx="55">
                  <c:v>5.7720000000000002E-3</c:v>
                </c:pt>
                <c:pt idx="56">
                  <c:v>5.8760000000000001E-3</c:v>
                </c:pt>
                <c:pt idx="57">
                  <c:v>5.9800000000000001E-3</c:v>
                </c:pt>
                <c:pt idx="58">
                  <c:v>6.084E-3</c:v>
                </c:pt>
                <c:pt idx="59">
                  <c:v>6.1879999999999999E-3</c:v>
                </c:pt>
                <c:pt idx="60">
                  <c:v>6.2919999999999998E-3</c:v>
                </c:pt>
                <c:pt idx="61">
                  <c:v>6.3959999999999998E-3</c:v>
                </c:pt>
                <c:pt idx="62">
                  <c:v>6.4999999999999997E-3</c:v>
                </c:pt>
                <c:pt idx="63">
                  <c:v>6.6039999999999996E-3</c:v>
                </c:pt>
                <c:pt idx="64">
                  <c:v>6.7080000000000004E-3</c:v>
                </c:pt>
                <c:pt idx="65">
                  <c:v>6.8120000000000003E-3</c:v>
                </c:pt>
                <c:pt idx="66">
                  <c:v>6.9160000000000003E-3</c:v>
                </c:pt>
                <c:pt idx="67">
                  <c:v>7.0200000000000002E-3</c:v>
                </c:pt>
                <c:pt idx="68">
                  <c:v>7.1240000000000001E-3</c:v>
                </c:pt>
                <c:pt idx="69">
                  <c:v>7.228E-3</c:v>
                </c:pt>
                <c:pt idx="70">
                  <c:v>7.332E-3</c:v>
                </c:pt>
                <c:pt idx="71">
                  <c:v>7.4359999999999999E-3</c:v>
                </c:pt>
                <c:pt idx="72">
                  <c:v>7.5399999999999998E-3</c:v>
                </c:pt>
                <c:pt idx="73">
                  <c:v>7.6439999999999998E-3</c:v>
                </c:pt>
                <c:pt idx="74">
                  <c:v>7.7479999999999997E-3</c:v>
                </c:pt>
                <c:pt idx="75">
                  <c:v>7.8519999999999996E-3</c:v>
                </c:pt>
                <c:pt idx="76">
                  <c:v>7.9559999999999995E-3</c:v>
                </c:pt>
                <c:pt idx="77">
                  <c:v>8.0599999999999995E-3</c:v>
                </c:pt>
                <c:pt idx="78">
                  <c:v>8.1639999999999994E-3</c:v>
                </c:pt>
                <c:pt idx="79">
                  <c:v>8.2679999999999993E-3</c:v>
                </c:pt>
                <c:pt idx="80">
                  <c:v>8.3719999999999992E-3</c:v>
                </c:pt>
                <c:pt idx="81">
                  <c:v>8.4759999999999992E-3</c:v>
                </c:pt>
                <c:pt idx="82">
                  <c:v>8.5800000000000008E-3</c:v>
                </c:pt>
                <c:pt idx="83">
                  <c:v>8.6840000000000007E-3</c:v>
                </c:pt>
                <c:pt idx="84">
                  <c:v>8.7880000000000007E-3</c:v>
                </c:pt>
                <c:pt idx="85">
                  <c:v>8.8920000000000006E-3</c:v>
                </c:pt>
                <c:pt idx="86">
                  <c:v>8.9960000000000005E-3</c:v>
                </c:pt>
                <c:pt idx="87">
                  <c:v>9.1000000000000004E-3</c:v>
                </c:pt>
                <c:pt idx="88">
                  <c:v>9.2040000000000004E-3</c:v>
                </c:pt>
                <c:pt idx="89">
                  <c:v>9.3080000000000003E-3</c:v>
                </c:pt>
                <c:pt idx="90">
                  <c:v>9.4120000000000002E-3</c:v>
                </c:pt>
                <c:pt idx="91">
                  <c:v>9.5160000000000002E-3</c:v>
                </c:pt>
                <c:pt idx="92">
                  <c:v>9.6200000000000001E-3</c:v>
                </c:pt>
                <c:pt idx="93">
                  <c:v>9.724E-3</c:v>
                </c:pt>
                <c:pt idx="94">
                  <c:v>9.8279999999999999E-3</c:v>
                </c:pt>
                <c:pt idx="95">
                  <c:v>9.9319999999999999E-3</c:v>
                </c:pt>
                <c:pt idx="96">
                  <c:v>1.0036E-2</c:v>
                </c:pt>
                <c:pt idx="97">
                  <c:v>1.014E-2</c:v>
                </c:pt>
                <c:pt idx="98">
                  <c:v>1.0244E-2</c:v>
                </c:pt>
                <c:pt idx="99">
                  <c:v>1.0348E-2</c:v>
                </c:pt>
                <c:pt idx="100">
                  <c:v>1.0451999999999999E-2</c:v>
                </c:pt>
                <c:pt idx="101">
                  <c:v>1.0555999999999999E-2</c:v>
                </c:pt>
                <c:pt idx="102">
                  <c:v>1.0659999999999999E-2</c:v>
                </c:pt>
                <c:pt idx="103">
                  <c:v>1.0763999999999999E-2</c:v>
                </c:pt>
                <c:pt idx="104">
                  <c:v>1.0867999999999999E-2</c:v>
                </c:pt>
                <c:pt idx="105">
                  <c:v>1.0972000000000001E-2</c:v>
                </c:pt>
                <c:pt idx="106">
                  <c:v>1.1076000000000001E-2</c:v>
                </c:pt>
                <c:pt idx="107">
                  <c:v>1.1180000000000001E-2</c:v>
                </c:pt>
                <c:pt idx="108">
                  <c:v>1.1284000000000001E-2</c:v>
                </c:pt>
                <c:pt idx="109">
                  <c:v>1.1388000000000001E-2</c:v>
                </c:pt>
                <c:pt idx="110">
                  <c:v>1.1492E-2</c:v>
                </c:pt>
                <c:pt idx="111">
                  <c:v>1.1596E-2</c:v>
                </c:pt>
                <c:pt idx="112">
                  <c:v>1.17E-2</c:v>
                </c:pt>
                <c:pt idx="113">
                  <c:v>1.1804E-2</c:v>
                </c:pt>
                <c:pt idx="114">
                  <c:v>1.1908E-2</c:v>
                </c:pt>
                <c:pt idx="115">
                  <c:v>1.2012E-2</c:v>
                </c:pt>
                <c:pt idx="116">
                  <c:v>1.2116E-2</c:v>
                </c:pt>
                <c:pt idx="117">
                  <c:v>1.222E-2</c:v>
                </c:pt>
                <c:pt idx="118">
                  <c:v>1.2324E-2</c:v>
                </c:pt>
                <c:pt idx="119">
                  <c:v>1.2428E-2</c:v>
                </c:pt>
                <c:pt idx="120">
                  <c:v>1.2532E-2</c:v>
                </c:pt>
                <c:pt idx="121">
                  <c:v>1.2636E-2</c:v>
                </c:pt>
                <c:pt idx="122">
                  <c:v>1.274E-2</c:v>
                </c:pt>
                <c:pt idx="123">
                  <c:v>1.2844E-2</c:v>
                </c:pt>
              </c:numCache>
            </c:numRef>
          </c:xVal>
          <c:yVal>
            <c:numRef>
              <c:f>Calc!$D$9:$D$132</c:f>
              <c:numCache>
                <c:formatCode>0.000</c:formatCode>
                <c:ptCount val="124"/>
                <c:pt idx="0">
                  <c:v>0.65649150859999994</c:v>
                </c:pt>
                <c:pt idx="1">
                  <c:v>0.68507650860000002</c:v>
                </c:pt>
                <c:pt idx="2">
                  <c:v>0.68990450859999997</c:v>
                </c:pt>
                <c:pt idx="3">
                  <c:v>0.69072950859999993</c:v>
                </c:pt>
                <c:pt idx="4">
                  <c:v>0.6894965086</c:v>
                </c:pt>
                <c:pt idx="5">
                  <c:v>0.68790750859999994</c:v>
                </c:pt>
                <c:pt idx="6">
                  <c:v>0.68623350859999999</c:v>
                </c:pt>
                <c:pt idx="7">
                  <c:v>0.68454250859999999</c:v>
                </c:pt>
                <c:pt idx="8">
                  <c:v>0.68282950860000002</c:v>
                </c:pt>
                <c:pt idx="9">
                  <c:v>0.68109250859999992</c:v>
                </c:pt>
                <c:pt idx="10">
                  <c:v>0.67929950859999999</c:v>
                </c:pt>
                <c:pt idx="11">
                  <c:v>0.6775005086</c:v>
                </c:pt>
                <c:pt idx="12">
                  <c:v>0.67568950859999999</c:v>
                </c:pt>
                <c:pt idx="13">
                  <c:v>0.67389950860000003</c:v>
                </c:pt>
                <c:pt idx="14">
                  <c:v>0.67210750860000001</c:v>
                </c:pt>
                <c:pt idx="15">
                  <c:v>0.67027650859999999</c:v>
                </c:pt>
                <c:pt idx="16">
                  <c:v>0.66846150859999998</c:v>
                </c:pt>
                <c:pt idx="17">
                  <c:v>0.66667150860000002</c:v>
                </c:pt>
                <c:pt idx="18">
                  <c:v>0.66482650859999992</c:v>
                </c:pt>
                <c:pt idx="19">
                  <c:v>0.66301950860000003</c:v>
                </c:pt>
                <c:pt idx="20">
                  <c:v>0.66120450860000002</c:v>
                </c:pt>
                <c:pt idx="21">
                  <c:v>0.65939150859999995</c:v>
                </c:pt>
                <c:pt idx="22">
                  <c:v>0.65757150860000002</c:v>
                </c:pt>
                <c:pt idx="23">
                  <c:v>0.65573850859999994</c:v>
                </c:pt>
                <c:pt idx="24">
                  <c:v>0.65389650859999993</c:v>
                </c:pt>
                <c:pt idx="25">
                  <c:v>0.65210250859999996</c:v>
                </c:pt>
                <c:pt idx="26">
                  <c:v>0.65027350859999999</c:v>
                </c:pt>
                <c:pt idx="27">
                  <c:v>0.64842650859999995</c:v>
                </c:pt>
                <c:pt idx="28">
                  <c:v>0.64658450859999994</c:v>
                </c:pt>
                <c:pt idx="29">
                  <c:v>0.64477350859999993</c:v>
                </c:pt>
                <c:pt idx="30">
                  <c:v>0.64293450860000001</c:v>
                </c:pt>
                <c:pt idx="31">
                  <c:v>0.64111350859999994</c:v>
                </c:pt>
                <c:pt idx="32">
                  <c:v>0.63928250860000002</c:v>
                </c:pt>
                <c:pt idx="33">
                  <c:v>0.63744750859999999</c:v>
                </c:pt>
                <c:pt idx="34">
                  <c:v>0.63557450859999998</c:v>
                </c:pt>
                <c:pt idx="35">
                  <c:v>0.63375050859999993</c:v>
                </c:pt>
                <c:pt idx="36">
                  <c:v>0.63188650859999995</c:v>
                </c:pt>
                <c:pt idx="37">
                  <c:v>0.63003950860000002</c:v>
                </c:pt>
                <c:pt idx="38">
                  <c:v>0.62817750859999999</c:v>
                </c:pt>
                <c:pt idx="39">
                  <c:v>0.62631450859999993</c:v>
                </c:pt>
                <c:pt idx="40">
                  <c:v>0.6244445086</c:v>
                </c:pt>
                <c:pt idx="41">
                  <c:v>0.62254150860000002</c:v>
                </c:pt>
                <c:pt idx="42">
                  <c:v>0.62064950860000001</c:v>
                </c:pt>
                <c:pt idx="43">
                  <c:v>0.61875850859999992</c:v>
                </c:pt>
                <c:pt idx="44">
                  <c:v>0.61684050859999995</c:v>
                </c:pt>
                <c:pt idx="45">
                  <c:v>0.61494550859999997</c:v>
                </c:pt>
                <c:pt idx="46">
                  <c:v>0.61298350859999995</c:v>
                </c:pt>
                <c:pt idx="47">
                  <c:v>0.61104050859999992</c:v>
                </c:pt>
                <c:pt idx="48">
                  <c:v>0.60908050859999996</c:v>
                </c:pt>
                <c:pt idx="49">
                  <c:v>0.60709250859999997</c:v>
                </c:pt>
                <c:pt idx="50">
                  <c:v>0.60509450860000003</c:v>
                </c:pt>
                <c:pt idx="51">
                  <c:v>0.60311150859999996</c:v>
                </c:pt>
                <c:pt idx="52">
                  <c:v>0.60109050860000002</c:v>
                </c:pt>
                <c:pt idx="53">
                  <c:v>0.59906750860000002</c:v>
                </c:pt>
                <c:pt idx="54">
                  <c:v>0.59700950860000002</c:v>
                </c:pt>
                <c:pt idx="55">
                  <c:v>0.59494050860000003</c:v>
                </c:pt>
                <c:pt idx="56">
                  <c:v>0.59283350859999995</c:v>
                </c:pt>
                <c:pt idx="57">
                  <c:v>0.59069750859999992</c:v>
                </c:pt>
                <c:pt idx="58">
                  <c:v>0.58852750860000003</c:v>
                </c:pt>
                <c:pt idx="59">
                  <c:v>0.58635750860000002</c:v>
                </c:pt>
                <c:pt idx="60">
                  <c:v>0.58413950859999997</c:v>
                </c:pt>
                <c:pt idx="61">
                  <c:v>0.58191650859999999</c:v>
                </c:pt>
                <c:pt idx="62">
                  <c:v>0.57966550859999999</c:v>
                </c:pt>
                <c:pt idx="63">
                  <c:v>0.57737550859999998</c:v>
                </c:pt>
                <c:pt idx="64">
                  <c:v>0.57505650860000002</c:v>
                </c:pt>
                <c:pt idx="65">
                  <c:v>0.57268350859999995</c:v>
                </c:pt>
                <c:pt idx="66">
                  <c:v>0.57030150859999995</c:v>
                </c:pt>
                <c:pt idx="67">
                  <c:v>0.56784550859999994</c:v>
                </c:pt>
                <c:pt idx="68">
                  <c:v>0.56534550859999999</c:v>
                </c:pt>
                <c:pt idx="69">
                  <c:v>0.56283450859999995</c:v>
                </c:pt>
                <c:pt idx="70">
                  <c:v>0.56022050859999994</c:v>
                </c:pt>
                <c:pt idx="71">
                  <c:v>0.55758950860000001</c:v>
                </c:pt>
                <c:pt idx="72">
                  <c:v>0.55490050859999995</c:v>
                </c:pt>
                <c:pt idx="73">
                  <c:v>0.55210450859999993</c:v>
                </c:pt>
                <c:pt idx="74">
                  <c:v>0.54927150859999996</c:v>
                </c:pt>
                <c:pt idx="75">
                  <c:v>0.54639050859999994</c:v>
                </c:pt>
                <c:pt idx="76">
                  <c:v>0.54343550860000001</c:v>
                </c:pt>
                <c:pt idx="77">
                  <c:v>0.54037250859999997</c:v>
                </c:pt>
                <c:pt idx="78">
                  <c:v>0.53720850860000002</c:v>
                </c:pt>
                <c:pt idx="79">
                  <c:v>0.53398950859999994</c:v>
                </c:pt>
                <c:pt idx="80">
                  <c:v>0.53065450859999996</c:v>
                </c:pt>
                <c:pt idx="81">
                  <c:v>0.52717150859999995</c:v>
                </c:pt>
                <c:pt idx="82">
                  <c:v>0.52360050859999996</c:v>
                </c:pt>
                <c:pt idx="83">
                  <c:v>0.51994850859999997</c:v>
                </c:pt>
                <c:pt idx="84">
                  <c:v>0.51619050859999993</c:v>
                </c:pt>
                <c:pt idx="85">
                  <c:v>0.51230150860000001</c:v>
                </c:pt>
                <c:pt idx="86">
                  <c:v>0.50830950860000002</c:v>
                </c:pt>
                <c:pt idx="87">
                  <c:v>0.50415150860000002</c:v>
                </c:pt>
                <c:pt idx="88">
                  <c:v>0.4999115086</c:v>
                </c:pt>
                <c:pt idx="89">
                  <c:v>0.49551050859999995</c:v>
                </c:pt>
                <c:pt idx="90">
                  <c:v>0.49102250859999996</c:v>
                </c:pt>
                <c:pt idx="91">
                  <c:v>0.4863655086</c:v>
                </c:pt>
                <c:pt idx="92">
                  <c:v>0.48163250859999995</c:v>
                </c:pt>
                <c:pt idx="93">
                  <c:v>0.47672950859999996</c:v>
                </c:pt>
                <c:pt idx="94">
                  <c:v>0.47172950859999996</c:v>
                </c:pt>
                <c:pt idx="95">
                  <c:v>0.46659850859999996</c:v>
                </c:pt>
                <c:pt idx="96">
                  <c:v>0.4613395086</c:v>
                </c:pt>
                <c:pt idx="97">
                  <c:v>0.45608250859999999</c:v>
                </c:pt>
                <c:pt idx="98">
                  <c:v>0.4507375086</c:v>
                </c:pt>
                <c:pt idx="99">
                  <c:v>0.44530550859999996</c:v>
                </c:pt>
                <c:pt idx="100">
                  <c:v>0.43981850859999999</c:v>
                </c:pt>
                <c:pt idx="101">
                  <c:v>0.43431950859999996</c:v>
                </c:pt>
                <c:pt idx="102">
                  <c:v>0.42882150859999996</c:v>
                </c:pt>
                <c:pt idx="103">
                  <c:v>0.42324850859999996</c:v>
                </c:pt>
                <c:pt idx="104">
                  <c:v>0.41766850859999999</c:v>
                </c:pt>
                <c:pt idx="105">
                  <c:v>0.4120995086</c:v>
                </c:pt>
                <c:pt idx="106">
                  <c:v>0.40658650859999995</c:v>
                </c:pt>
                <c:pt idx="107">
                  <c:v>0.40107850859999999</c:v>
                </c:pt>
                <c:pt idx="108">
                  <c:v>0.39558950859999997</c:v>
                </c:pt>
                <c:pt idx="109">
                  <c:v>0.39017650859999997</c:v>
                </c:pt>
                <c:pt idx="110">
                  <c:v>0.3847955086</c:v>
                </c:pt>
                <c:pt idx="111">
                  <c:v>0.3794925086</c:v>
                </c:pt>
                <c:pt idx="112">
                  <c:v>0.37423350859999999</c:v>
                </c:pt>
                <c:pt idx="113">
                  <c:v>0.36901650859999996</c:v>
                </c:pt>
                <c:pt idx="114">
                  <c:v>0.36391150859999999</c:v>
                </c:pt>
                <c:pt idx="115">
                  <c:v>0.3588695086</c:v>
                </c:pt>
                <c:pt idx="116">
                  <c:v>0.3539295086</c:v>
                </c:pt>
                <c:pt idx="117">
                  <c:v>0.34903650859999996</c:v>
                </c:pt>
                <c:pt idx="118">
                  <c:v>0.34425250859999995</c:v>
                </c:pt>
                <c:pt idx="119">
                  <c:v>0.33953550859999998</c:v>
                </c:pt>
                <c:pt idx="120">
                  <c:v>0.33495650859999998</c:v>
                </c:pt>
                <c:pt idx="121">
                  <c:v>0.32079450859999997</c:v>
                </c:pt>
                <c:pt idx="122">
                  <c:v>0.24921250860000002</c:v>
                </c:pt>
                <c:pt idx="123">
                  <c:v>0.2130275086</c:v>
                </c:pt>
              </c:numCache>
            </c:numRef>
          </c:yVal>
          <c:smooth val="1"/>
        </c:ser>
        <c:dLbls>
          <c:showLegendKey val="0"/>
          <c:showVal val="0"/>
          <c:showCatName val="0"/>
          <c:showSerName val="0"/>
          <c:showPercent val="0"/>
          <c:showBubbleSize val="0"/>
        </c:dLbls>
        <c:axId val="323763160"/>
        <c:axId val="323760728"/>
      </c:scatterChart>
      <c:valAx>
        <c:axId val="263298136"/>
        <c:scaling>
          <c:orientation val="minMax"/>
          <c:min val="0"/>
        </c:scaling>
        <c:delete val="0"/>
        <c:axPos val="b"/>
        <c:majorGridlines/>
        <c:title>
          <c:tx>
            <c:rich>
              <a:bodyPr/>
              <a:lstStyle/>
              <a:p>
                <a:pPr>
                  <a:defRPr sz="1200"/>
                </a:pPr>
                <a:r>
                  <a:rPr lang="en-US" sz="1200"/>
                  <a:t>Time (seconds)</a:t>
                </a:r>
              </a:p>
            </c:rich>
          </c:tx>
          <c:layout/>
          <c:overlay val="0"/>
        </c:title>
        <c:numFmt formatCode="0.0E+00" sourceLinked="0"/>
        <c:majorTickMark val="none"/>
        <c:minorTickMark val="none"/>
        <c:tickLblPos val="low"/>
        <c:txPr>
          <a:bodyPr/>
          <a:lstStyle/>
          <a:p>
            <a:pPr>
              <a:defRPr b="1"/>
            </a:pPr>
            <a:endParaRPr lang="en-US"/>
          </a:p>
        </c:txPr>
        <c:crossAx val="263222384"/>
        <c:crosses val="autoZero"/>
        <c:crossBetween val="midCat"/>
      </c:valAx>
      <c:valAx>
        <c:axId val="263222384"/>
        <c:scaling>
          <c:logBase val="10"/>
          <c:orientation val="minMax"/>
          <c:min val="1.0000000000000041E-3"/>
        </c:scaling>
        <c:delete val="0"/>
        <c:axPos val="l"/>
        <c:majorGridlines/>
        <c:title>
          <c:tx>
            <c:rich>
              <a:bodyPr rot="-5400000" vert="horz"/>
              <a:lstStyle/>
              <a:p>
                <a:pPr>
                  <a:defRPr sz="1200">
                    <a:solidFill>
                      <a:srgbClr val="3A2BF9"/>
                    </a:solidFill>
                  </a:defRPr>
                </a:pPr>
                <a:r>
                  <a:rPr lang="en-US" sz="1200">
                    <a:solidFill>
                      <a:srgbClr val="3A2BF9"/>
                    </a:solidFill>
                  </a:rPr>
                  <a:t>Light Intensity (Suns)</a:t>
                </a:r>
              </a:p>
            </c:rich>
          </c:tx>
          <c:layout/>
          <c:overlay val="0"/>
        </c:title>
        <c:numFmt formatCode="0.000" sourceLinked="1"/>
        <c:majorTickMark val="out"/>
        <c:minorTickMark val="none"/>
        <c:tickLblPos val="nextTo"/>
        <c:txPr>
          <a:bodyPr/>
          <a:lstStyle/>
          <a:p>
            <a:pPr>
              <a:defRPr b="1">
                <a:solidFill>
                  <a:srgbClr val="3A2BF9"/>
                </a:solidFill>
              </a:defRPr>
            </a:pPr>
            <a:endParaRPr lang="en-US"/>
          </a:p>
        </c:txPr>
        <c:crossAx val="263298136"/>
        <c:crosses val="autoZero"/>
        <c:crossBetween val="midCat"/>
      </c:valAx>
      <c:valAx>
        <c:axId val="323760728"/>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Cell Voltage (Volts)</a:t>
                </a:r>
              </a:p>
            </c:rich>
          </c:tx>
          <c:layout>
            <c:manualLayout>
              <c:xMode val="edge"/>
              <c:yMode val="edge"/>
              <c:x val="0.94943044619422567"/>
              <c:y val="0.29746384606024567"/>
            </c:manualLayout>
          </c:layout>
          <c:overlay val="0"/>
        </c:title>
        <c:numFmt formatCode="0.0" sourceLinked="0"/>
        <c:majorTickMark val="out"/>
        <c:minorTickMark val="none"/>
        <c:tickLblPos val="nextTo"/>
        <c:txPr>
          <a:bodyPr/>
          <a:lstStyle/>
          <a:p>
            <a:pPr>
              <a:defRPr b="1">
                <a:solidFill>
                  <a:srgbClr val="FF0000"/>
                </a:solidFill>
              </a:defRPr>
            </a:pPr>
            <a:endParaRPr lang="en-US"/>
          </a:p>
        </c:txPr>
        <c:crossAx val="323763160"/>
        <c:crosses val="max"/>
        <c:crossBetween val="midCat"/>
      </c:valAx>
      <c:valAx>
        <c:axId val="323763160"/>
        <c:scaling>
          <c:orientation val="minMax"/>
        </c:scaling>
        <c:delete val="1"/>
        <c:axPos val="b"/>
        <c:numFmt formatCode="0.00E+00" sourceLinked="1"/>
        <c:majorTickMark val="out"/>
        <c:minorTickMark val="none"/>
        <c:tickLblPos val="none"/>
        <c:crossAx val="323760728"/>
        <c:crosses val="autoZero"/>
        <c:crossBetween val="midCat"/>
      </c:valAx>
    </c:plotArea>
    <c:legend>
      <c:legendPos val="r"/>
      <c:layout>
        <c:manualLayout>
          <c:xMode val="edge"/>
          <c:yMode val="edge"/>
          <c:x val="0.14869453937760649"/>
          <c:y val="0.70997353031365362"/>
          <c:w val="0.37095844269466743"/>
          <c:h val="0.14895600509171691"/>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Pseudo Light IV Curve without effect of Rs</a:t>
            </a:r>
          </a:p>
        </c:rich>
      </c:tx>
      <c:layout/>
      <c:overlay val="0"/>
    </c:title>
    <c:autoTitleDeleted val="0"/>
    <c:plotArea>
      <c:layout>
        <c:manualLayout>
          <c:layoutTarget val="inner"/>
          <c:xMode val="edge"/>
          <c:yMode val="edge"/>
          <c:x val="0.13351525715774162"/>
          <c:y val="0.12671704410228207"/>
          <c:w val="0.73523191280479572"/>
          <c:h val="0.72279254122004133"/>
        </c:manualLayout>
      </c:layout>
      <c:scatterChart>
        <c:scatterStyle val="smoothMarker"/>
        <c:varyColors val="0"/>
        <c:ser>
          <c:idx val="0"/>
          <c:order val="0"/>
          <c:tx>
            <c:v>Pseudo Light IV</c:v>
          </c:tx>
          <c:spPr>
            <a:ln>
              <a:solidFill>
                <a:srgbClr val="3A2BF9"/>
              </a:solidFill>
            </a:ln>
          </c:spPr>
          <c:marker>
            <c:symbol val="square"/>
            <c:size val="3"/>
            <c:spPr>
              <a:solidFill>
                <a:srgbClr val="3A2BF9"/>
              </a:solidFill>
              <a:ln>
                <a:solidFill>
                  <a:schemeClr val="tx1"/>
                </a:solidFill>
              </a:ln>
            </c:spPr>
          </c:marker>
          <c:xVal>
            <c:numRef>
              <c:f>Calc!$D$15:$D$133</c:f>
              <c:numCache>
                <c:formatCode>0.000</c:formatCode>
                <c:ptCount val="119"/>
                <c:pt idx="0">
                  <c:v>0.68623350859999999</c:v>
                </c:pt>
                <c:pt idx="1">
                  <c:v>0.68454250859999999</c:v>
                </c:pt>
                <c:pt idx="2">
                  <c:v>0.68282950860000002</c:v>
                </c:pt>
                <c:pt idx="3">
                  <c:v>0.68109250859999992</c:v>
                </c:pt>
                <c:pt idx="4">
                  <c:v>0.67929950859999999</c:v>
                </c:pt>
                <c:pt idx="5">
                  <c:v>0.6775005086</c:v>
                </c:pt>
                <c:pt idx="6">
                  <c:v>0.67568950859999999</c:v>
                </c:pt>
                <c:pt idx="7">
                  <c:v>0.67389950860000003</c:v>
                </c:pt>
                <c:pt idx="8">
                  <c:v>0.67210750860000001</c:v>
                </c:pt>
                <c:pt idx="9">
                  <c:v>0.67027650859999999</c:v>
                </c:pt>
                <c:pt idx="10">
                  <c:v>0.66846150859999998</c:v>
                </c:pt>
                <c:pt idx="11">
                  <c:v>0.66667150860000002</c:v>
                </c:pt>
                <c:pt idx="12">
                  <c:v>0.66482650859999992</c:v>
                </c:pt>
                <c:pt idx="13">
                  <c:v>0.66301950860000003</c:v>
                </c:pt>
                <c:pt idx="14">
                  <c:v>0.66120450860000002</c:v>
                </c:pt>
                <c:pt idx="15">
                  <c:v>0.65939150859999995</c:v>
                </c:pt>
                <c:pt idx="16">
                  <c:v>0.65757150860000002</c:v>
                </c:pt>
                <c:pt idx="17">
                  <c:v>0.65573850859999994</c:v>
                </c:pt>
                <c:pt idx="18">
                  <c:v>0.65389650859999993</c:v>
                </c:pt>
                <c:pt idx="19">
                  <c:v>0.65210250859999996</c:v>
                </c:pt>
                <c:pt idx="20">
                  <c:v>0.65027350859999999</c:v>
                </c:pt>
                <c:pt idx="21">
                  <c:v>0.64842650859999995</c:v>
                </c:pt>
                <c:pt idx="22">
                  <c:v>0.64658450859999994</c:v>
                </c:pt>
                <c:pt idx="23">
                  <c:v>0.64477350859999993</c:v>
                </c:pt>
                <c:pt idx="24">
                  <c:v>0.64293450860000001</c:v>
                </c:pt>
                <c:pt idx="25">
                  <c:v>0.64111350859999994</c:v>
                </c:pt>
                <c:pt idx="26">
                  <c:v>0.63928250860000002</c:v>
                </c:pt>
                <c:pt idx="27">
                  <c:v>0.63744750859999999</c:v>
                </c:pt>
                <c:pt idx="28">
                  <c:v>0.63557450859999998</c:v>
                </c:pt>
                <c:pt idx="29">
                  <c:v>0.63375050859999993</c:v>
                </c:pt>
                <c:pt idx="30">
                  <c:v>0.63188650859999995</c:v>
                </c:pt>
                <c:pt idx="31">
                  <c:v>0.63003950860000002</c:v>
                </c:pt>
                <c:pt idx="32">
                  <c:v>0.62817750859999999</c:v>
                </c:pt>
                <c:pt idx="33">
                  <c:v>0.62631450859999993</c:v>
                </c:pt>
                <c:pt idx="34">
                  <c:v>0.6244445086</c:v>
                </c:pt>
                <c:pt idx="35">
                  <c:v>0.62254150860000002</c:v>
                </c:pt>
                <c:pt idx="36">
                  <c:v>0.62064950860000001</c:v>
                </c:pt>
                <c:pt idx="37">
                  <c:v>0.61875850859999992</c:v>
                </c:pt>
                <c:pt idx="38">
                  <c:v>0.61684050859999995</c:v>
                </c:pt>
                <c:pt idx="39">
                  <c:v>0.61494550859999997</c:v>
                </c:pt>
                <c:pt idx="40">
                  <c:v>0.61298350859999995</c:v>
                </c:pt>
                <c:pt idx="41">
                  <c:v>0.61104050859999992</c:v>
                </c:pt>
                <c:pt idx="42">
                  <c:v>0.60908050859999996</c:v>
                </c:pt>
                <c:pt idx="43">
                  <c:v>0.60709250859999997</c:v>
                </c:pt>
                <c:pt idx="44">
                  <c:v>0.60509450860000003</c:v>
                </c:pt>
                <c:pt idx="45">
                  <c:v>0.60311150859999996</c:v>
                </c:pt>
                <c:pt idx="46">
                  <c:v>0.60109050860000002</c:v>
                </c:pt>
                <c:pt idx="47">
                  <c:v>0.59906750860000002</c:v>
                </c:pt>
                <c:pt idx="48">
                  <c:v>0.59700950860000002</c:v>
                </c:pt>
                <c:pt idx="49">
                  <c:v>0.59494050860000003</c:v>
                </c:pt>
                <c:pt idx="50">
                  <c:v>0.59283350859999995</c:v>
                </c:pt>
                <c:pt idx="51">
                  <c:v>0.59069750859999992</c:v>
                </c:pt>
                <c:pt idx="52">
                  <c:v>0.58852750860000003</c:v>
                </c:pt>
                <c:pt idx="53">
                  <c:v>0.58635750860000002</c:v>
                </c:pt>
                <c:pt idx="54">
                  <c:v>0.58413950859999997</c:v>
                </c:pt>
                <c:pt idx="55">
                  <c:v>0.58191650859999999</c:v>
                </c:pt>
                <c:pt idx="56">
                  <c:v>0.57966550859999999</c:v>
                </c:pt>
                <c:pt idx="57">
                  <c:v>0.57737550859999998</c:v>
                </c:pt>
                <c:pt idx="58">
                  <c:v>0.57505650860000002</c:v>
                </c:pt>
                <c:pt idx="59">
                  <c:v>0.57268350859999995</c:v>
                </c:pt>
                <c:pt idx="60">
                  <c:v>0.57030150859999995</c:v>
                </c:pt>
                <c:pt idx="61">
                  <c:v>0.56784550859999994</c:v>
                </c:pt>
                <c:pt idx="62">
                  <c:v>0.56534550859999999</c:v>
                </c:pt>
                <c:pt idx="63">
                  <c:v>0.56283450859999995</c:v>
                </c:pt>
                <c:pt idx="64">
                  <c:v>0.56022050859999994</c:v>
                </c:pt>
                <c:pt idx="65">
                  <c:v>0.55758950860000001</c:v>
                </c:pt>
                <c:pt idx="66">
                  <c:v>0.55490050859999995</c:v>
                </c:pt>
                <c:pt idx="67">
                  <c:v>0.55210450859999993</c:v>
                </c:pt>
                <c:pt idx="68">
                  <c:v>0.54927150859999996</c:v>
                </c:pt>
                <c:pt idx="69">
                  <c:v>0.54639050859999994</c:v>
                </c:pt>
                <c:pt idx="70">
                  <c:v>0.54343550860000001</c:v>
                </c:pt>
                <c:pt idx="71">
                  <c:v>0.54037250859999997</c:v>
                </c:pt>
                <c:pt idx="72">
                  <c:v>0.53720850860000002</c:v>
                </c:pt>
                <c:pt idx="73">
                  <c:v>0.53398950859999994</c:v>
                </c:pt>
                <c:pt idx="74">
                  <c:v>0.53065450859999996</c:v>
                </c:pt>
                <c:pt idx="75">
                  <c:v>0.52717150859999995</c:v>
                </c:pt>
                <c:pt idx="76">
                  <c:v>0.52360050859999996</c:v>
                </c:pt>
                <c:pt idx="77">
                  <c:v>0.51994850859999997</c:v>
                </c:pt>
                <c:pt idx="78">
                  <c:v>0.51619050859999993</c:v>
                </c:pt>
                <c:pt idx="79">
                  <c:v>0.51230150860000001</c:v>
                </c:pt>
                <c:pt idx="80">
                  <c:v>0.50830950860000002</c:v>
                </c:pt>
                <c:pt idx="81">
                  <c:v>0.50415150860000002</c:v>
                </c:pt>
                <c:pt idx="82">
                  <c:v>0.4999115086</c:v>
                </c:pt>
                <c:pt idx="83">
                  <c:v>0.49551050859999995</c:v>
                </c:pt>
                <c:pt idx="84">
                  <c:v>0.49102250859999996</c:v>
                </c:pt>
                <c:pt idx="85">
                  <c:v>0.4863655086</c:v>
                </c:pt>
                <c:pt idx="86">
                  <c:v>0.48163250859999995</c:v>
                </c:pt>
                <c:pt idx="87">
                  <c:v>0.47672950859999996</c:v>
                </c:pt>
                <c:pt idx="88">
                  <c:v>0.47172950859999996</c:v>
                </c:pt>
                <c:pt idx="89">
                  <c:v>0.46659850859999996</c:v>
                </c:pt>
                <c:pt idx="90">
                  <c:v>0.4613395086</c:v>
                </c:pt>
                <c:pt idx="91">
                  <c:v>0.45608250859999999</c:v>
                </c:pt>
                <c:pt idx="92">
                  <c:v>0.4507375086</c:v>
                </c:pt>
                <c:pt idx="93">
                  <c:v>0.44530550859999996</c:v>
                </c:pt>
                <c:pt idx="94">
                  <c:v>0.43981850859999999</c:v>
                </c:pt>
                <c:pt idx="95">
                  <c:v>0.43431950859999996</c:v>
                </c:pt>
                <c:pt idx="96">
                  <c:v>0.42882150859999996</c:v>
                </c:pt>
                <c:pt idx="97">
                  <c:v>0.42324850859999996</c:v>
                </c:pt>
                <c:pt idx="98">
                  <c:v>0.41766850859999999</c:v>
                </c:pt>
                <c:pt idx="99">
                  <c:v>0.4120995086</c:v>
                </c:pt>
                <c:pt idx="100">
                  <c:v>0.40658650859999995</c:v>
                </c:pt>
                <c:pt idx="101">
                  <c:v>0.40107850859999999</c:v>
                </c:pt>
                <c:pt idx="102">
                  <c:v>0.39558950859999997</c:v>
                </c:pt>
                <c:pt idx="103">
                  <c:v>0.39017650859999997</c:v>
                </c:pt>
                <c:pt idx="104">
                  <c:v>0.3847955086</c:v>
                </c:pt>
                <c:pt idx="105">
                  <c:v>0.3794925086</c:v>
                </c:pt>
                <c:pt idx="106">
                  <c:v>0.37423350859999999</c:v>
                </c:pt>
                <c:pt idx="107">
                  <c:v>0.36901650859999996</c:v>
                </c:pt>
                <c:pt idx="108">
                  <c:v>0.36391150859999999</c:v>
                </c:pt>
                <c:pt idx="109">
                  <c:v>0.3588695086</c:v>
                </c:pt>
                <c:pt idx="110">
                  <c:v>0.3539295086</c:v>
                </c:pt>
                <c:pt idx="111">
                  <c:v>0.34903650859999996</c:v>
                </c:pt>
                <c:pt idx="112">
                  <c:v>0.34425250859999995</c:v>
                </c:pt>
                <c:pt idx="113">
                  <c:v>0.33953550859999998</c:v>
                </c:pt>
                <c:pt idx="114">
                  <c:v>0.33495650859999998</c:v>
                </c:pt>
                <c:pt idx="115">
                  <c:v>0.32079450859999997</c:v>
                </c:pt>
                <c:pt idx="116">
                  <c:v>0.24921250860000002</c:v>
                </c:pt>
                <c:pt idx="117">
                  <c:v>0.2130275086</c:v>
                </c:pt>
                <c:pt idx="118">
                  <c:v>-3.4134914000000034E-3</c:v>
                </c:pt>
              </c:numCache>
            </c:numRef>
          </c:xVal>
          <c:yVal>
            <c:numRef>
              <c:f>Calc!$U$15:$U$133</c:f>
              <c:numCache>
                <c:formatCode>0.0000</c:formatCode>
                <c:ptCount val="119"/>
                <c:pt idx="0">
                  <c:v>-0.16968396063715033</c:v>
                </c:pt>
                <c:pt idx="1">
                  <c:v>-0.16177921483946703</c:v>
                </c:pt>
                <c:pt idx="2">
                  <c:v>-0.15155267050707968</c:v>
                </c:pt>
                <c:pt idx="3">
                  <c:v>-0.13986946671918465</c:v>
                </c:pt>
                <c:pt idx="4">
                  <c:v>-0.12840043963994091</c:v>
                </c:pt>
                <c:pt idx="5">
                  <c:v>-0.11799243342114769</c:v>
                </c:pt>
                <c:pt idx="6">
                  <c:v>-0.10846772657595595</c:v>
                </c:pt>
                <c:pt idx="7">
                  <c:v>-9.9610567305265282E-2</c:v>
                </c:pt>
                <c:pt idx="8">
                  <c:v>-9.1409214213297035E-2</c:v>
                </c:pt>
                <c:pt idx="9">
                  <c:v>-8.3760491893761155E-2</c:v>
                </c:pt>
                <c:pt idx="10">
                  <c:v>-7.6562124514934715E-2</c:v>
                </c:pt>
                <c:pt idx="11">
                  <c:v>-6.9811284692806799E-2</c:v>
                </c:pt>
                <c:pt idx="12">
                  <c:v>-6.3550554178608193E-2</c:v>
                </c:pt>
                <c:pt idx="13">
                  <c:v>-5.7608054476265387E-2</c:v>
                </c:pt>
                <c:pt idx="14">
                  <c:v>-5.210134457186643E-2</c:v>
                </c:pt>
                <c:pt idx="15">
                  <c:v>-4.6930039836440125E-2</c:v>
                </c:pt>
                <c:pt idx="16">
                  <c:v>-4.2056655843083962E-2</c:v>
                </c:pt>
                <c:pt idx="17">
                  <c:v>-3.7503415859390932E-2</c:v>
                </c:pt>
                <c:pt idx="18">
                  <c:v>-3.3261968639568894E-2</c:v>
                </c:pt>
                <c:pt idx="19">
                  <c:v>-2.9216059919513298E-2</c:v>
                </c:pt>
                <c:pt idx="20">
                  <c:v>-2.5487260160968594E-2</c:v>
                </c:pt>
                <c:pt idx="21">
                  <c:v>-2.1968687041422876E-2</c:v>
                </c:pt>
                <c:pt idx="22">
                  <c:v>-1.8617823255738956E-2</c:v>
                </c:pt>
                <c:pt idx="23">
                  <c:v>-1.5456387996490052E-2</c:v>
                </c:pt>
                <c:pt idx="24">
                  <c:v>-1.2530657732042113E-2</c:v>
                </c:pt>
                <c:pt idx="25">
                  <c:v>-9.7623686715606253E-3</c:v>
                </c:pt>
                <c:pt idx="26">
                  <c:v>-7.1633000196908159E-3</c:v>
                </c:pt>
                <c:pt idx="27">
                  <c:v>-4.7278456238261518E-3</c:v>
                </c:pt>
                <c:pt idx="28">
                  <c:v>-2.4337222167728082E-3</c:v>
                </c:pt>
                <c:pt idx="29">
                  <c:v>-2.2708208963845124E-4</c:v>
                </c:pt>
                <c:pt idx="30">
                  <c:v>1.7993338674516456E-3</c:v>
                </c:pt>
                <c:pt idx="31">
                  <c:v>3.7560955487327533E-3</c:v>
                </c:pt>
                <c:pt idx="32">
                  <c:v>5.6040357095234325E-3</c:v>
                </c:pt>
                <c:pt idx="33">
                  <c:v>7.326762864372568E-3</c:v>
                </c:pt>
                <c:pt idx="34">
                  <c:v>8.9698596791497921E-3</c:v>
                </c:pt>
                <c:pt idx="35">
                  <c:v>1.0499945106022198E-2</c:v>
                </c:pt>
                <c:pt idx="36">
                  <c:v>1.1954129776351302E-2</c:v>
                </c:pt>
                <c:pt idx="37">
                  <c:v>1.3319817458007184E-2</c:v>
                </c:pt>
                <c:pt idx="38">
                  <c:v>1.4623283176846576E-2</c:v>
                </c:pt>
                <c:pt idx="39">
                  <c:v>1.5852404249742821E-2</c:v>
                </c:pt>
                <c:pt idx="40">
                  <c:v>1.6997886149258221E-2</c:v>
                </c:pt>
                <c:pt idx="41">
                  <c:v>1.8110382974949431E-2</c:v>
                </c:pt>
                <c:pt idx="42">
                  <c:v>1.9148375855835661E-2</c:v>
                </c:pt>
                <c:pt idx="43">
                  <c:v>2.0136418513326419E-2</c:v>
                </c:pt>
                <c:pt idx="44">
                  <c:v>2.1071510907742178E-2</c:v>
                </c:pt>
                <c:pt idx="45">
                  <c:v>2.1962224899977519E-2</c:v>
                </c:pt>
                <c:pt idx="46">
                  <c:v>2.2795309040982894E-2</c:v>
                </c:pt>
                <c:pt idx="47">
                  <c:v>2.3587462276740939E-2</c:v>
                </c:pt>
                <c:pt idx="48">
                  <c:v>2.4342663427956053E-2</c:v>
                </c:pt>
                <c:pt idx="49">
                  <c:v>2.5054781550561425E-2</c:v>
                </c:pt>
                <c:pt idx="50">
                  <c:v>2.5736997191142506E-2</c:v>
                </c:pt>
                <c:pt idx="51">
                  <c:v>2.638858724721773E-2</c:v>
                </c:pt>
                <c:pt idx="52">
                  <c:v>2.7012028344202868E-2</c:v>
                </c:pt>
                <c:pt idx="53">
                  <c:v>2.7613901667352142E-2</c:v>
                </c:pt>
                <c:pt idx="54">
                  <c:v>2.8174799823981089E-2</c:v>
                </c:pt>
                <c:pt idx="55">
                  <c:v>2.8705846062933988E-2</c:v>
                </c:pt>
                <c:pt idx="56">
                  <c:v>2.9212113991444487E-2</c:v>
                </c:pt>
                <c:pt idx="57">
                  <c:v>2.9681713519542661E-2</c:v>
                </c:pt>
                <c:pt idx="58">
                  <c:v>3.0138967581023957E-2</c:v>
                </c:pt>
                <c:pt idx="59">
                  <c:v>3.0567422096753019E-2</c:v>
                </c:pt>
                <c:pt idx="60">
                  <c:v>3.0975296680486389E-2</c:v>
                </c:pt>
                <c:pt idx="61">
                  <c:v>3.1368835279663797E-2</c:v>
                </c:pt>
                <c:pt idx="62">
                  <c:v>3.174368165834357E-2</c:v>
                </c:pt>
                <c:pt idx="63">
                  <c:v>3.2099102124241337E-2</c:v>
                </c:pt>
                <c:pt idx="64">
                  <c:v>3.2429580689806455E-2</c:v>
                </c:pt>
                <c:pt idx="65">
                  <c:v>3.2747478228075437E-2</c:v>
                </c:pt>
                <c:pt idx="66">
                  <c:v>3.3052816218465793E-2</c:v>
                </c:pt>
                <c:pt idx="67">
                  <c:v>3.3345144030195388E-2</c:v>
                </c:pt>
                <c:pt idx="68">
                  <c:v>3.3614002640156203E-2</c:v>
                </c:pt>
                <c:pt idx="69">
                  <c:v>3.3879653210506427E-2</c:v>
                </c:pt>
                <c:pt idx="70">
                  <c:v>3.4123364641057731E-2</c:v>
                </c:pt>
                <c:pt idx="71">
                  <c:v>3.4361646593074523E-2</c:v>
                </c:pt>
                <c:pt idx="72">
                  <c:v>3.4593356430972513E-2</c:v>
                </c:pt>
                <c:pt idx="73">
                  <c:v>3.4805311714617579E-2</c:v>
                </c:pt>
                <c:pt idx="74">
                  <c:v>3.5013445901958484E-2</c:v>
                </c:pt>
                <c:pt idx="75">
                  <c:v>3.520879764979163E-2</c:v>
                </c:pt>
                <c:pt idx="76">
                  <c:v>3.5392825521402708E-2</c:v>
                </c:pt>
                <c:pt idx="77">
                  <c:v>3.5578823398046577E-2</c:v>
                </c:pt>
                <c:pt idx="78">
                  <c:v>3.5752378323460905E-2</c:v>
                </c:pt>
                <c:pt idx="79">
                  <c:v>3.5913209451535387E-2</c:v>
                </c:pt>
                <c:pt idx="80">
                  <c:v>3.6067048643556858E-2</c:v>
                </c:pt>
                <c:pt idx="81">
                  <c:v>3.621062253016466E-2</c:v>
                </c:pt>
                <c:pt idx="82">
                  <c:v>3.6349189699574444E-2</c:v>
                </c:pt>
                <c:pt idx="83">
                  <c:v>3.6494645283300355E-2</c:v>
                </c:pt>
                <c:pt idx="84">
                  <c:v>3.6614556069135343E-2</c:v>
                </c:pt>
                <c:pt idx="85">
                  <c:v>3.6743991080509374E-2</c:v>
                </c:pt>
                <c:pt idx="86">
                  <c:v>3.6859187647456548E-2</c:v>
                </c:pt>
                <c:pt idx="87">
                  <c:v>3.6967533116377814E-2</c:v>
                </c:pt>
                <c:pt idx="88">
                  <c:v>3.7080575515795654E-2</c:v>
                </c:pt>
                <c:pt idx="89">
                  <c:v>3.7171554598785794E-2</c:v>
                </c:pt>
                <c:pt idx="90">
                  <c:v>3.7268993588286954E-2</c:v>
                </c:pt>
                <c:pt idx="91">
                  <c:v>3.7365659129677986E-2</c:v>
                </c:pt>
                <c:pt idx="92">
                  <c:v>3.7459246348867742E-2</c:v>
                </c:pt>
                <c:pt idx="93">
                  <c:v>3.7540706850945453E-2</c:v>
                </c:pt>
                <c:pt idx="94">
                  <c:v>3.7614439155868006E-2</c:v>
                </c:pt>
                <c:pt idx="95">
                  <c:v>3.7695048687426166E-2</c:v>
                </c:pt>
                <c:pt idx="96">
                  <c:v>3.7773410773174511E-2</c:v>
                </c:pt>
                <c:pt idx="97">
                  <c:v>3.7834194974062214E-2</c:v>
                </c:pt>
                <c:pt idx="98">
                  <c:v>3.7898966394285555E-2</c:v>
                </c:pt>
                <c:pt idx="99">
                  <c:v>3.7960786455268652E-2</c:v>
                </c:pt>
                <c:pt idx="100">
                  <c:v>3.8022946871647596E-2</c:v>
                </c:pt>
                <c:pt idx="101">
                  <c:v>3.8083620912513542E-2</c:v>
                </c:pt>
                <c:pt idx="102">
                  <c:v>3.8137343892185767E-2</c:v>
                </c:pt>
                <c:pt idx="103">
                  <c:v>3.8191419669806742E-2</c:v>
                </c:pt>
                <c:pt idx="104">
                  <c:v>3.8236722335309579E-2</c:v>
                </c:pt>
                <c:pt idx="105">
                  <c:v>3.8275812425585795E-2</c:v>
                </c:pt>
                <c:pt idx="106">
                  <c:v>3.8322923534924613E-2</c:v>
                </c:pt>
                <c:pt idx="107">
                  <c:v>3.8365649132843446E-2</c:v>
                </c:pt>
                <c:pt idx="108">
                  <c:v>3.8407276094932524E-2</c:v>
                </c:pt>
                <c:pt idx="109">
                  <c:v>3.8439409028028899E-2</c:v>
                </c:pt>
                <c:pt idx="110">
                  <c:v>3.8476284023729483E-2</c:v>
                </c:pt>
                <c:pt idx="111">
                  <c:v>3.8510601263243384E-2</c:v>
                </c:pt>
                <c:pt idx="112">
                  <c:v>3.8541632301737419E-2</c:v>
                </c:pt>
                <c:pt idx="113">
                  <c:v>3.8572661501802129E-2</c:v>
                </c:pt>
                <c:pt idx="114">
                  <c:v>3.8598215181135972E-2</c:v>
                </c:pt>
                <c:pt idx="115">
                  <c:v>3.8678126709605E-2</c:v>
                </c:pt>
                <c:pt idx="116">
                  <c:v>3.8979990234710646E-2</c:v>
                </c:pt>
                <c:pt idx="117">
                  <c:v>3.9049346956581514E-2</c:v>
                </c:pt>
                <c:pt idx="118">
                  <c:v>3.9063897E-2</c:v>
                </c:pt>
              </c:numCache>
            </c:numRef>
          </c:yVal>
          <c:smooth val="1"/>
        </c:ser>
        <c:dLbls>
          <c:showLegendKey val="0"/>
          <c:showVal val="0"/>
          <c:showCatName val="0"/>
          <c:showSerName val="0"/>
          <c:showPercent val="0"/>
          <c:showBubbleSize val="0"/>
        </c:dLbls>
        <c:axId val="262933200"/>
        <c:axId val="323807456"/>
      </c:scatterChart>
      <c:scatterChart>
        <c:scatterStyle val="smoothMarker"/>
        <c:varyColors val="0"/>
        <c:ser>
          <c:idx val="1"/>
          <c:order val="1"/>
          <c:tx>
            <c:v>Power Density</c:v>
          </c:tx>
          <c:spPr>
            <a:ln>
              <a:solidFill>
                <a:srgbClr val="159B55"/>
              </a:solidFill>
            </a:ln>
          </c:spPr>
          <c:marker>
            <c:symbol val="square"/>
            <c:size val="3"/>
            <c:spPr>
              <a:solidFill>
                <a:srgbClr val="159B55"/>
              </a:solidFill>
              <a:ln w="9525">
                <a:solidFill>
                  <a:sysClr val="windowText" lastClr="000000">
                    <a:alpha val="39000"/>
                  </a:sysClr>
                </a:solidFill>
              </a:ln>
            </c:spPr>
          </c:marker>
          <c:xVal>
            <c:numRef>
              <c:f>Calc!$D$15:$D$133</c:f>
              <c:numCache>
                <c:formatCode>0.000</c:formatCode>
                <c:ptCount val="119"/>
                <c:pt idx="0">
                  <c:v>0.68623350859999999</c:v>
                </c:pt>
                <c:pt idx="1">
                  <c:v>0.68454250859999999</c:v>
                </c:pt>
                <c:pt idx="2">
                  <c:v>0.68282950860000002</c:v>
                </c:pt>
                <c:pt idx="3">
                  <c:v>0.68109250859999992</c:v>
                </c:pt>
                <c:pt idx="4">
                  <c:v>0.67929950859999999</c:v>
                </c:pt>
                <c:pt idx="5">
                  <c:v>0.6775005086</c:v>
                </c:pt>
                <c:pt idx="6">
                  <c:v>0.67568950859999999</c:v>
                </c:pt>
                <c:pt idx="7">
                  <c:v>0.67389950860000003</c:v>
                </c:pt>
                <c:pt idx="8">
                  <c:v>0.67210750860000001</c:v>
                </c:pt>
                <c:pt idx="9">
                  <c:v>0.67027650859999999</c:v>
                </c:pt>
                <c:pt idx="10">
                  <c:v>0.66846150859999998</c:v>
                </c:pt>
                <c:pt idx="11">
                  <c:v>0.66667150860000002</c:v>
                </c:pt>
                <c:pt idx="12">
                  <c:v>0.66482650859999992</c:v>
                </c:pt>
                <c:pt idx="13">
                  <c:v>0.66301950860000003</c:v>
                </c:pt>
                <c:pt idx="14">
                  <c:v>0.66120450860000002</c:v>
                </c:pt>
                <c:pt idx="15">
                  <c:v>0.65939150859999995</c:v>
                </c:pt>
                <c:pt idx="16">
                  <c:v>0.65757150860000002</c:v>
                </c:pt>
                <c:pt idx="17">
                  <c:v>0.65573850859999994</c:v>
                </c:pt>
                <c:pt idx="18">
                  <c:v>0.65389650859999993</c:v>
                </c:pt>
                <c:pt idx="19">
                  <c:v>0.65210250859999996</c:v>
                </c:pt>
                <c:pt idx="20">
                  <c:v>0.65027350859999999</c:v>
                </c:pt>
                <c:pt idx="21">
                  <c:v>0.64842650859999995</c:v>
                </c:pt>
                <c:pt idx="22">
                  <c:v>0.64658450859999994</c:v>
                </c:pt>
                <c:pt idx="23">
                  <c:v>0.64477350859999993</c:v>
                </c:pt>
                <c:pt idx="24">
                  <c:v>0.64293450860000001</c:v>
                </c:pt>
                <c:pt idx="25">
                  <c:v>0.64111350859999994</c:v>
                </c:pt>
                <c:pt idx="26">
                  <c:v>0.63928250860000002</c:v>
                </c:pt>
                <c:pt idx="27">
                  <c:v>0.63744750859999999</c:v>
                </c:pt>
                <c:pt idx="28">
                  <c:v>0.63557450859999998</c:v>
                </c:pt>
                <c:pt idx="29">
                  <c:v>0.63375050859999993</c:v>
                </c:pt>
                <c:pt idx="30">
                  <c:v>0.63188650859999995</c:v>
                </c:pt>
                <c:pt idx="31">
                  <c:v>0.63003950860000002</c:v>
                </c:pt>
                <c:pt idx="32">
                  <c:v>0.62817750859999999</c:v>
                </c:pt>
                <c:pt idx="33">
                  <c:v>0.62631450859999993</c:v>
                </c:pt>
                <c:pt idx="34">
                  <c:v>0.6244445086</c:v>
                </c:pt>
                <c:pt idx="35">
                  <c:v>0.62254150860000002</c:v>
                </c:pt>
                <c:pt idx="36">
                  <c:v>0.62064950860000001</c:v>
                </c:pt>
                <c:pt idx="37">
                  <c:v>0.61875850859999992</c:v>
                </c:pt>
                <c:pt idx="38">
                  <c:v>0.61684050859999995</c:v>
                </c:pt>
                <c:pt idx="39">
                  <c:v>0.61494550859999997</c:v>
                </c:pt>
                <c:pt idx="40">
                  <c:v>0.61298350859999995</c:v>
                </c:pt>
                <c:pt idx="41">
                  <c:v>0.61104050859999992</c:v>
                </c:pt>
                <c:pt idx="42">
                  <c:v>0.60908050859999996</c:v>
                </c:pt>
                <c:pt idx="43">
                  <c:v>0.60709250859999997</c:v>
                </c:pt>
                <c:pt idx="44">
                  <c:v>0.60509450860000003</c:v>
                </c:pt>
                <c:pt idx="45">
                  <c:v>0.60311150859999996</c:v>
                </c:pt>
                <c:pt idx="46">
                  <c:v>0.60109050860000002</c:v>
                </c:pt>
                <c:pt idx="47">
                  <c:v>0.59906750860000002</c:v>
                </c:pt>
                <c:pt idx="48">
                  <c:v>0.59700950860000002</c:v>
                </c:pt>
                <c:pt idx="49">
                  <c:v>0.59494050860000003</c:v>
                </c:pt>
                <c:pt idx="50">
                  <c:v>0.59283350859999995</c:v>
                </c:pt>
                <c:pt idx="51">
                  <c:v>0.59069750859999992</c:v>
                </c:pt>
                <c:pt idx="52">
                  <c:v>0.58852750860000003</c:v>
                </c:pt>
                <c:pt idx="53">
                  <c:v>0.58635750860000002</c:v>
                </c:pt>
                <c:pt idx="54">
                  <c:v>0.58413950859999997</c:v>
                </c:pt>
                <c:pt idx="55">
                  <c:v>0.58191650859999999</c:v>
                </c:pt>
                <c:pt idx="56">
                  <c:v>0.57966550859999999</c:v>
                </c:pt>
                <c:pt idx="57">
                  <c:v>0.57737550859999998</c:v>
                </c:pt>
                <c:pt idx="58">
                  <c:v>0.57505650860000002</c:v>
                </c:pt>
                <c:pt idx="59">
                  <c:v>0.57268350859999995</c:v>
                </c:pt>
                <c:pt idx="60">
                  <c:v>0.57030150859999995</c:v>
                </c:pt>
                <c:pt idx="61">
                  <c:v>0.56784550859999994</c:v>
                </c:pt>
                <c:pt idx="62">
                  <c:v>0.56534550859999999</c:v>
                </c:pt>
                <c:pt idx="63">
                  <c:v>0.56283450859999995</c:v>
                </c:pt>
                <c:pt idx="64">
                  <c:v>0.56022050859999994</c:v>
                </c:pt>
                <c:pt idx="65">
                  <c:v>0.55758950860000001</c:v>
                </c:pt>
                <c:pt idx="66">
                  <c:v>0.55490050859999995</c:v>
                </c:pt>
                <c:pt idx="67">
                  <c:v>0.55210450859999993</c:v>
                </c:pt>
                <c:pt idx="68">
                  <c:v>0.54927150859999996</c:v>
                </c:pt>
                <c:pt idx="69">
                  <c:v>0.54639050859999994</c:v>
                </c:pt>
                <c:pt idx="70">
                  <c:v>0.54343550860000001</c:v>
                </c:pt>
                <c:pt idx="71">
                  <c:v>0.54037250859999997</c:v>
                </c:pt>
                <c:pt idx="72">
                  <c:v>0.53720850860000002</c:v>
                </c:pt>
                <c:pt idx="73">
                  <c:v>0.53398950859999994</c:v>
                </c:pt>
                <c:pt idx="74">
                  <c:v>0.53065450859999996</c:v>
                </c:pt>
                <c:pt idx="75">
                  <c:v>0.52717150859999995</c:v>
                </c:pt>
                <c:pt idx="76">
                  <c:v>0.52360050859999996</c:v>
                </c:pt>
                <c:pt idx="77">
                  <c:v>0.51994850859999997</c:v>
                </c:pt>
                <c:pt idx="78">
                  <c:v>0.51619050859999993</c:v>
                </c:pt>
                <c:pt idx="79">
                  <c:v>0.51230150860000001</c:v>
                </c:pt>
                <c:pt idx="80">
                  <c:v>0.50830950860000002</c:v>
                </c:pt>
                <c:pt idx="81">
                  <c:v>0.50415150860000002</c:v>
                </c:pt>
                <c:pt idx="82">
                  <c:v>0.4999115086</c:v>
                </c:pt>
                <c:pt idx="83">
                  <c:v>0.49551050859999995</c:v>
                </c:pt>
                <c:pt idx="84">
                  <c:v>0.49102250859999996</c:v>
                </c:pt>
                <c:pt idx="85">
                  <c:v>0.4863655086</c:v>
                </c:pt>
                <c:pt idx="86">
                  <c:v>0.48163250859999995</c:v>
                </c:pt>
                <c:pt idx="87">
                  <c:v>0.47672950859999996</c:v>
                </c:pt>
                <c:pt idx="88">
                  <c:v>0.47172950859999996</c:v>
                </c:pt>
                <c:pt idx="89">
                  <c:v>0.46659850859999996</c:v>
                </c:pt>
                <c:pt idx="90">
                  <c:v>0.4613395086</c:v>
                </c:pt>
                <c:pt idx="91">
                  <c:v>0.45608250859999999</c:v>
                </c:pt>
                <c:pt idx="92">
                  <c:v>0.4507375086</c:v>
                </c:pt>
                <c:pt idx="93">
                  <c:v>0.44530550859999996</c:v>
                </c:pt>
                <c:pt idx="94">
                  <c:v>0.43981850859999999</c:v>
                </c:pt>
                <c:pt idx="95">
                  <c:v>0.43431950859999996</c:v>
                </c:pt>
                <c:pt idx="96">
                  <c:v>0.42882150859999996</c:v>
                </c:pt>
                <c:pt idx="97">
                  <c:v>0.42324850859999996</c:v>
                </c:pt>
                <c:pt idx="98">
                  <c:v>0.41766850859999999</c:v>
                </c:pt>
                <c:pt idx="99">
                  <c:v>0.4120995086</c:v>
                </c:pt>
                <c:pt idx="100">
                  <c:v>0.40658650859999995</c:v>
                </c:pt>
                <c:pt idx="101">
                  <c:v>0.40107850859999999</c:v>
                </c:pt>
                <c:pt idx="102">
                  <c:v>0.39558950859999997</c:v>
                </c:pt>
                <c:pt idx="103">
                  <c:v>0.39017650859999997</c:v>
                </c:pt>
                <c:pt idx="104">
                  <c:v>0.3847955086</c:v>
                </c:pt>
                <c:pt idx="105">
                  <c:v>0.3794925086</c:v>
                </c:pt>
                <c:pt idx="106">
                  <c:v>0.37423350859999999</c:v>
                </c:pt>
                <c:pt idx="107">
                  <c:v>0.36901650859999996</c:v>
                </c:pt>
                <c:pt idx="108">
                  <c:v>0.36391150859999999</c:v>
                </c:pt>
                <c:pt idx="109">
                  <c:v>0.3588695086</c:v>
                </c:pt>
                <c:pt idx="110">
                  <c:v>0.3539295086</c:v>
                </c:pt>
                <c:pt idx="111">
                  <c:v>0.34903650859999996</c:v>
                </c:pt>
                <c:pt idx="112">
                  <c:v>0.34425250859999995</c:v>
                </c:pt>
                <c:pt idx="113">
                  <c:v>0.33953550859999998</c:v>
                </c:pt>
                <c:pt idx="114">
                  <c:v>0.33495650859999998</c:v>
                </c:pt>
                <c:pt idx="115">
                  <c:v>0.32079450859999997</c:v>
                </c:pt>
                <c:pt idx="116">
                  <c:v>0.24921250860000002</c:v>
                </c:pt>
                <c:pt idx="117">
                  <c:v>0.2130275086</c:v>
                </c:pt>
                <c:pt idx="118">
                  <c:v>-3.4134914000000034E-3</c:v>
                </c:pt>
              </c:numCache>
            </c:numRef>
          </c:xVal>
          <c:yVal>
            <c:numRef>
              <c:f>Calc!$X$15:$X$133</c:f>
              <c:numCache>
                <c:formatCode>0.000</c:formatCode>
                <c:ptCount val="119"/>
                <c:pt idx="0">
                  <c:v>-0.11644281966117596</c:v>
                </c:pt>
                <c:pt idx="1">
                  <c:v>-0.1107447495655471</c:v>
                </c:pt>
                <c:pt idx="2">
                  <c:v>-0.10348463552936693</c:v>
                </c:pt>
                <c:pt idx="3">
                  <c:v>-9.5264045964313676E-2</c:v>
                </c:pt>
                <c:pt idx="4">
                  <c:v>-8.7222355551435815E-2</c:v>
                </c:pt>
                <c:pt idx="5">
                  <c:v>-7.9939933653779202E-2</c:v>
                </c:pt>
                <c:pt idx="6">
                  <c:v>-7.3290504869066839E-2</c:v>
                </c:pt>
                <c:pt idx="7">
                  <c:v>-6.7127512358385502E-2</c:v>
                </c:pt>
                <c:pt idx="8">
                  <c:v>-6.1436819227982782E-2</c:v>
                </c:pt>
                <c:pt idx="9">
                  <c:v>-5.6142690065168831E-2</c:v>
                </c:pt>
                <c:pt idx="10">
                  <c:v>-5.1178833254874302E-2</c:v>
                </c:pt>
                <c:pt idx="11">
                  <c:v>-4.6541194483457594E-2</c:v>
                </c:pt>
                <c:pt idx="12">
                  <c:v>-4.2250093054159221E-2</c:v>
                </c:pt>
                <c:pt idx="13">
                  <c:v>-3.8195263970255508E-2</c:v>
                </c:pt>
                <c:pt idx="14">
                  <c:v>-3.4449643935040221E-2</c:v>
                </c:pt>
                <c:pt idx="15">
                  <c:v>-3.0945269766408351E-2</c:v>
                </c:pt>
                <c:pt idx="16">
                  <c:v>-2.7655258629407726E-2</c:v>
                </c:pt>
                <c:pt idx="17">
                  <c:v>-2.4592433983042596E-2</c:v>
                </c:pt>
                <c:pt idx="18">
                  <c:v>-2.1749885162576789E-2</c:v>
                </c:pt>
                <c:pt idx="19">
                  <c:v>-1.9051865964922535E-2</c:v>
                </c:pt>
                <c:pt idx="20">
                  <c:v>-1.6573690089474048E-2</c:v>
                </c:pt>
                <c:pt idx="21">
                  <c:v>-1.4245079036795899E-2</c:v>
                </c:pt>
                <c:pt idx="22">
                  <c:v>-1.2037996101013625E-2</c:v>
                </c:pt>
                <c:pt idx="23">
                  <c:v>-9.9658695187798147E-3</c:v>
                </c:pt>
                <c:pt idx="24">
                  <c:v>-8.0563922713852865E-3</c:v>
                </c:pt>
                <c:pt idx="25">
                  <c:v>-6.2587864312709527E-3</c:v>
                </c:pt>
                <c:pt idx="26">
                  <c:v>-4.5793724064423745E-3</c:v>
                </c:pt>
                <c:pt idx="27">
                  <c:v>-3.0137534139533934E-3</c:v>
                </c:pt>
                <c:pt idx="28">
                  <c:v>-1.5468118019942802E-3</c:v>
                </c:pt>
                <c:pt idx="29">
                  <c:v>-1.4391338980231924E-4</c:v>
                </c:pt>
                <c:pt idx="30">
                  <c:v>1.1369747953097553E-3</c:v>
                </c:pt>
                <c:pt idx="31">
                  <c:v>2.3664885937782314E-3</c:v>
                </c:pt>
                <c:pt idx="32">
                  <c:v>3.520329190113863E-3</c:v>
                </c:pt>
                <c:pt idx="33">
                  <c:v>4.588857883028233E-3</c:v>
                </c:pt>
                <c:pt idx="34">
                  <c:v>5.601179619557646E-3</c:v>
                </c:pt>
                <c:pt idx="35">
                  <c:v>6.5366516665202462E-3</c:v>
                </c:pt>
                <c:pt idx="36">
                  <c:v>7.4193247714330638E-3</c:v>
                </c:pt>
                <c:pt idx="37">
                  <c:v>8.2417503851407673E-3</c:v>
                </c:pt>
                <c:pt idx="38">
                  <c:v>9.0202334322078657E-3</c:v>
                </c:pt>
                <c:pt idx="39">
                  <c:v>9.7483647938908999E-3</c:v>
                </c:pt>
                <c:pt idx="40">
                  <c:v>1.0419423890555647E-2</c:v>
                </c:pt>
                <c:pt idx="41">
                  <c:v>1.106617762395388E-2</c:v>
                </c:pt>
                <c:pt idx="42">
                  <c:v>1.1662902505136344E-2</c:v>
                </c:pt>
                <c:pt idx="43">
                  <c:v>1.2224668829474818E-2</c:v>
                </c:pt>
                <c:pt idx="44">
                  <c:v>1.2750255538179794E-2</c:v>
                </c:pt>
                <c:pt idx="45">
                  <c:v>1.3245670591637924E-2</c:v>
                </c:pt>
                <c:pt idx="46">
                  <c:v>1.3702043905138586E-2</c:v>
                </c:pt>
                <c:pt idx="47">
                  <c:v>1.4130482260323679E-2</c:v>
                </c:pt>
                <c:pt idx="48">
                  <c:v>1.4532801531139235E-2</c:v>
                </c:pt>
                <c:pt idx="49">
                  <c:v>1.4906104478552911E-2</c:v>
                </c:pt>
                <c:pt idx="50">
                  <c:v>1.5257754345653355E-2</c:v>
                </c:pt>
                <c:pt idx="51">
                  <c:v>1.5587672742405244E-2</c:v>
                </c:pt>
                <c:pt idx="52">
                  <c:v>1.5897321743646296E-2</c:v>
                </c:pt>
                <c:pt idx="53">
                  <c:v>1.6191618584393989E-2</c:v>
                </c:pt>
                <c:pt idx="54">
                  <c:v>1.6458013724083679E-2</c:v>
                </c:pt>
                <c:pt idx="55">
                  <c:v>1.67044057173516E-2</c:v>
                </c:pt>
                <c:pt idx="56">
                  <c:v>1.6933254914131845E-2</c:v>
                </c:pt>
                <c:pt idx="57">
                  <c:v>1.7137494439465439E-2</c:v>
                </c:pt>
                <c:pt idx="58">
                  <c:v>1.7331609469952224E-2</c:v>
                </c:pt>
                <c:pt idx="59">
                  <c:v>1.7505458535225685E-2</c:v>
                </c:pt>
                <c:pt idx="60">
                  <c:v>1.766525842621396E-2</c:v>
                </c:pt>
                <c:pt idx="61">
                  <c:v>1.781265222357031E-2</c:v>
                </c:pt>
                <c:pt idx="62">
                  <c:v>1.7946147851972738E-2</c:v>
                </c:pt>
                <c:pt idx="63">
                  <c:v>1.8066482370598588E-2</c:v>
                </c:pt>
                <c:pt idx="64">
                  <c:v>1.8167716187728108E-2</c:v>
                </c:pt>
                <c:pt idx="65">
                  <c:v>1.8259650293081783E-2</c:v>
                </c:pt>
                <c:pt idx="66">
                  <c:v>1.8341024530288994E-2</c:v>
                </c:pt>
                <c:pt idx="67">
                  <c:v>1.8410004358987247E-2</c:v>
                </c:pt>
                <c:pt idx="68">
                  <c:v>1.846321394024298E-2</c:v>
                </c:pt>
                <c:pt idx="69">
                  <c:v>1.8511520948880228E-2</c:v>
                </c:pt>
                <c:pt idx="70">
                  <c:v>1.8543848018856463E-2</c:v>
                </c:pt>
                <c:pt idx="71">
                  <c:v>1.8568089169126323E-2</c:v>
                </c:pt>
                <c:pt idx="72">
                  <c:v>1.8583845415750963E-2</c:v>
                </c:pt>
                <c:pt idx="73">
                  <c:v>1.8585671299158463E-2</c:v>
                </c:pt>
                <c:pt idx="74">
                  <c:v>1.858004292949646E-2</c:v>
                </c:pt>
                <c:pt idx="75">
                  <c:v>1.8561074973032787E-2</c:v>
                </c:pt>
                <c:pt idx="76">
                  <c:v>1.8531701443797517E-2</c:v>
                </c:pt>
                <c:pt idx="77">
                  <c:v>1.8499156163557101E-2</c:v>
                </c:pt>
                <c:pt idx="78">
                  <c:v>1.8455038350446897E-2</c:v>
                </c:pt>
                <c:pt idx="79">
                  <c:v>1.8398391380689359E-2</c:v>
                </c:pt>
                <c:pt idx="80">
                  <c:v>1.8333223772658683E-2</c:v>
                </c:pt>
                <c:pt idx="81">
                  <c:v>1.8255639975927662E-2</c:v>
                </c:pt>
                <c:pt idx="82">
                  <c:v>1.8171378259101843E-2</c:v>
                </c:pt>
                <c:pt idx="83">
                  <c:v>1.8083480245504747E-2</c:v>
                </c:pt>
                <c:pt idx="84">
                  <c:v>1.7978571172342191E-2</c:v>
                </c:pt>
                <c:pt idx="85">
                  <c:v>1.7871009909865804E-2</c:v>
                </c:pt>
                <c:pt idx="86">
                  <c:v>1.7752583011602627E-2</c:v>
                </c:pt>
                <c:pt idx="87">
                  <c:v>1.7623513896725021E-2</c:v>
                </c:pt>
                <c:pt idx="88">
                  <c:v>1.7492001666671475E-2</c:v>
                </c:pt>
                <c:pt idx="89">
                  <c:v>1.7344191938136921E-2</c:v>
                </c:pt>
                <c:pt idx="90">
                  <c:v>1.7193659188036853E-2</c:v>
                </c:pt>
                <c:pt idx="91">
                  <c:v>1.7041823551356028E-2</c:v>
                </c:pt>
                <c:pt idx="92">
                  <c:v>1.6884287373322291E-2</c:v>
                </c:pt>
                <c:pt idx="93">
                  <c:v>1.6717083557463767E-2</c:v>
                </c:pt>
                <c:pt idx="94">
                  <c:v>1.654352653135931E-2</c:v>
                </c:pt>
                <c:pt idx="95">
                  <c:v>1.6371695022576006E-2</c:v>
                </c:pt>
                <c:pt idx="96">
                  <c:v>1.6198050992720186E-2</c:v>
                </c:pt>
                <c:pt idx="97">
                  <c:v>1.6013266596853447E-2</c:v>
                </c:pt>
                <c:pt idx="98">
                  <c:v>1.5829204771382766E-2</c:v>
                </c:pt>
                <c:pt idx="99">
                  <c:v>1.5643621444285747E-2</c:v>
                </c:pt>
                <c:pt idx="100">
                  <c:v>1.5459617215226486E-2</c:v>
                </c:pt>
                <c:pt idx="101">
                  <c:v>1.5274521877678703E-2</c:v>
                </c:pt>
                <c:pt idx="102">
                  <c:v>1.5086733129618978E-2</c:v>
                </c:pt>
                <c:pt idx="103">
                  <c:v>1.4901394785242559E-2</c:v>
                </c:pt>
                <c:pt idx="104">
                  <c:v>1.4713319018212429E-2</c:v>
                </c:pt>
                <c:pt idx="105">
                  <c:v>1.4525384076088605E-2</c:v>
                </c:pt>
                <c:pt idx="106">
                  <c:v>1.4341722134284352E-2</c:v>
                </c:pt>
                <c:pt idx="107">
                  <c:v>1.4157557893174504E-2</c:v>
                </c:pt>
                <c:pt idx="108">
                  <c:v>1.3976849784923612E-2</c:v>
                </c:pt>
                <c:pt idx="109">
                  <c:v>1.3794731828763134E-2</c:v>
                </c:pt>
                <c:pt idx="110">
                  <c:v>1.3617892297272607E-2</c:v>
                </c:pt>
                <c:pt idx="111">
                  <c:v>1.344160580900922E-2</c:v>
                </c:pt>
                <c:pt idx="112">
                  <c:v>1.3268053605411896E-2</c:v>
                </c:pt>
                <c:pt idx="113">
                  <c:v>1.3096788241070025E-2</c:v>
                </c:pt>
                <c:pt idx="114">
                  <c:v>1.292872339526482E-2</c:v>
                </c:pt>
                <c:pt idx="115">
                  <c:v>1.2407730651376269E-2</c:v>
                </c:pt>
                <c:pt idx="116">
                  <c:v>9.7143011515957445E-3</c:v>
                </c:pt>
                <c:pt idx="117">
                  <c:v>8.3185850946175515E-3</c:v>
                </c:pt>
                <c:pt idx="118">
                  <c:v>-1.3334427645998593E-4</c:v>
                </c:pt>
              </c:numCache>
            </c:numRef>
          </c:yVal>
          <c:smooth val="1"/>
        </c:ser>
        <c:dLbls>
          <c:showLegendKey val="0"/>
          <c:showVal val="0"/>
          <c:showCatName val="0"/>
          <c:showSerName val="0"/>
          <c:showPercent val="0"/>
          <c:showBubbleSize val="0"/>
        </c:dLbls>
        <c:axId val="323814368"/>
        <c:axId val="323813984"/>
      </c:scatterChart>
      <c:valAx>
        <c:axId val="262933200"/>
        <c:scaling>
          <c:orientation val="minMax"/>
          <c:min val="0"/>
        </c:scaling>
        <c:delete val="0"/>
        <c:axPos val="b"/>
        <c:majorGridlines/>
        <c:title>
          <c:tx>
            <c:rich>
              <a:bodyPr/>
              <a:lstStyle/>
              <a:p>
                <a:pPr>
                  <a:defRPr sz="1200"/>
                </a:pPr>
                <a:r>
                  <a:rPr lang="en-US" sz="1200"/>
                  <a:t>Voltage (Volts)</a:t>
                </a:r>
              </a:p>
            </c:rich>
          </c:tx>
          <c:layout/>
          <c:overlay val="0"/>
        </c:title>
        <c:numFmt formatCode="0.00" sourceLinked="0"/>
        <c:majorTickMark val="none"/>
        <c:minorTickMark val="none"/>
        <c:tickLblPos val="low"/>
        <c:txPr>
          <a:bodyPr/>
          <a:lstStyle/>
          <a:p>
            <a:pPr>
              <a:defRPr b="1"/>
            </a:pPr>
            <a:endParaRPr lang="en-US"/>
          </a:p>
        </c:txPr>
        <c:crossAx val="323807456"/>
        <c:crosses val="autoZero"/>
        <c:crossBetween val="midCat"/>
      </c:valAx>
      <c:valAx>
        <c:axId val="323807456"/>
        <c:scaling>
          <c:orientation val="minMax"/>
          <c:max val="4.0000000000000022E-2"/>
          <c:min val="0"/>
        </c:scaling>
        <c:delete val="0"/>
        <c:axPos val="l"/>
        <c:majorGridlines/>
        <c:title>
          <c:tx>
            <c:rich>
              <a:bodyPr rot="-5400000" vert="horz"/>
              <a:lstStyle/>
              <a:p>
                <a:pPr>
                  <a:defRPr sz="1200">
                    <a:solidFill>
                      <a:srgbClr val="3A2BF9"/>
                    </a:solidFill>
                  </a:defRPr>
                </a:pPr>
                <a:r>
                  <a:rPr lang="en-US" sz="1200">
                    <a:solidFill>
                      <a:srgbClr val="3A2BF9"/>
                    </a:solidFill>
                  </a:rPr>
                  <a:t>Current (A/cm2)</a:t>
                </a:r>
              </a:p>
            </c:rich>
          </c:tx>
          <c:layout/>
          <c:overlay val="0"/>
        </c:title>
        <c:numFmt formatCode="#,##0.000" sourceLinked="0"/>
        <c:majorTickMark val="out"/>
        <c:minorTickMark val="none"/>
        <c:tickLblPos val="nextTo"/>
        <c:txPr>
          <a:bodyPr/>
          <a:lstStyle/>
          <a:p>
            <a:pPr>
              <a:defRPr b="1">
                <a:solidFill>
                  <a:srgbClr val="3A2BF9"/>
                </a:solidFill>
              </a:defRPr>
            </a:pPr>
            <a:endParaRPr lang="en-US"/>
          </a:p>
        </c:txPr>
        <c:crossAx val="262933200"/>
        <c:crosses val="autoZero"/>
        <c:crossBetween val="midCat"/>
      </c:valAx>
      <c:valAx>
        <c:axId val="323813984"/>
        <c:scaling>
          <c:orientation val="minMax"/>
          <c:min val="0"/>
        </c:scaling>
        <c:delete val="0"/>
        <c:axPos val="r"/>
        <c:title>
          <c:tx>
            <c:rich>
              <a:bodyPr rot="-5400000" vert="horz"/>
              <a:lstStyle/>
              <a:p>
                <a:pPr>
                  <a:defRPr sz="1200">
                    <a:solidFill>
                      <a:srgbClr val="159B55"/>
                    </a:solidFill>
                  </a:defRPr>
                </a:pPr>
                <a:r>
                  <a:rPr lang="en-US" sz="1200">
                    <a:solidFill>
                      <a:srgbClr val="159B55"/>
                    </a:solidFill>
                  </a:rPr>
                  <a:t>Power Density (W/cm2)</a:t>
                </a:r>
              </a:p>
            </c:rich>
          </c:tx>
          <c:layout/>
          <c:overlay val="0"/>
        </c:title>
        <c:numFmt formatCode="0.000" sourceLinked="0"/>
        <c:majorTickMark val="out"/>
        <c:minorTickMark val="none"/>
        <c:tickLblPos val="nextTo"/>
        <c:txPr>
          <a:bodyPr/>
          <a:lstStyle/>
          <a:p>
            <a:pPr>
              <a:defRPr b="1">
                <a:solidFill>
                  <a:srgbClr val="159B55"/>
                </a:solidFill>
              </a:defRPr>
            </a:pPr>
            <a:endParaRPr lang="en-US"/>
          </a:p>
        </c:txPr>
        <c:crossAx val="323814368"/>
        <c:crosses val="max"/>
        <c:crossBetween val="midCat"/>
      </c:valAx>
      <c:valAx>
        <c:axId val="323814368"/>
        <c:scaling>
          <c:orientation val="minMax"/>
        </c:scaling>
        <c:delete val="1"/>
        <c:axPos val="b"/>
        <c:numFmt formatCode="0.000" sourceLinked="1"/>
        <c:majorTickMark val="out"/>
        <c:minorTickMark val="none"/>
        <c:tickLblPos val="none"/>
        <c:crossAx val="323813984"/>
        <c:crosses val="autoZero"/>
        <c:crossBetween val="midCat"/>
      </c:valAx>
    </c:plotArea>
    <c:legend>
      <c:legendPos val="r"/>
      <c:layout>
        <c:manualLayout>
          <c:xMode val="edge"/>
          <c:yMode val="edge"/>
          <c:x val="0.15908333333333532"/>
          <c:y val="0.67130512838086465"/>
          <c:w val="0.31869444444444694"/>
          <c:h val="0.15281338645079265"/>
        </c:manualLayout>
      </c:layout>
      <c:overlay val="0"/>
      <c:spPr>
        <a:solidFill>
          <a:sysClr val="window" lastClr="FFFFFF"/>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511" l="0.70000000000000062" r="0.70000000000000062" t="0.750000000000005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77329960905937"/>
          <c:y val="5.1440251900434983E-2"/>
          <c:w val="0.75548917761953105"/>
          <c:h val="0.79806923030058663"/>
        </c:manualLayout>
      </c:layout>
      <c:scatterChart>
        <c:scatterStyle val="smoothMarker"/>
        <c:varyColors val="0"/>
        <c:ser>
          <c:idx val="0"/>
          <c:order val="0"/>
          <c:tx>
            <c:v>Measured Suns-Voc</c:v>
          </c:tx>
          <c:spPr>
            <a:ln w="25400">
              <a:noFill/>
            </a:ln>
          </c:spPr>
          <c:marker>
            <c:symbol val="square"/>
            <c:size val="3"/>
            <c:spPr>
              <a:solidFill>
                <a:srgbClr val="FF0000"/>
              </a:solidFill>
              <a:ln>
                <a:solidFill>
                  <a:sysClr val="windowText" lastClr="000000">
                    <a:alpha val="26000"/>
                  </a:sysClr>
                </a:solidFill>
              </a:ln>
            </c:spPr>
          </c:marker>
          <c:xVal>
            <c:numRef>
              <c:f>Calc!$D$15:$D$132</c:f>
              <c:numCache>
                <c:formatCode>0.000</c:formatCode>
                <c:ptCount val="118"/>
                <c:pt idx="0">
                  <c:v>0.68623350859999999</c:v>
                </c:pt>
                <c:pt idx="1">
                  <c:v>0.68454250859999999</c:v>
                </c:pt>
                <c:pt idx="2">
                  <c:v>0.68282950860000002</c:v>
                </c:pt>
                <c:pt idx="3">
                  <c:v>0.68109250859999992</c:v>
                </c:pt>
                <c:pt idx="4">
                  <c:v>0.67929950859999999</c:v>
                </c:pt>
                <c:pt idx="5">
                  <c:v>0.6775005086</c:v>
                </c:pt>
                <c:pt idx="6">
                  <c:v>0.67568950859999999</c:v>
                </c:pt>
                <c:pt idx="7">
                  <c:v>0.67389950860000003</c:v>
                </c:pt>
                <c:pt idx="8">
                  <c:v>0.67210750860000001</c:v>
                </c:pt>
                <c:pt idx="9">
                  <c:v>0.67027650859999999</c:v>
                </c:pt>
                <c:pt idx="10">
                  <c:v>0.66846150859999998</c:v>
                </c:pt>
                <c:pt idx="11">
                  <c:v>0.66667150860000002</c:v>
                </c:pt>
                <c:pt idx="12">
                  <c:v>0.66482650859999992</c:v>
                </c:pt>
                <c:pt idx="13">
                  <c:v>0.66301950860000003</c:v>
                </c:pt>
                <c:pt idx="14">
                  <c:v>0.66120450860000002</c:v>
                </c:pt>
                <c:pt idx="15">
                  <c:v>0.65939150859999995</c:v>
                </c:pt>
                <c:pt idx="16">
                  <c:v>0.65757150860000002</c:v>
                </c:pt>
                <c:pt idx="17">
                  <c:v>0.65573850859999994</c:v>
                </c:pt>
                <c:pt idx="18">
                  <c:v>0.65389650859999993</c:v>
                </c:pt>
                <c:pt idx="19">
                  <c:v>0.65210250859999996</c:v>
                </c:pt>
                <c:pt idx="20">
                  <c:v>0.65027350859999999</c:v>
                </c:pt>
                <c:pt idx="21">
                  <c:v>0.64842650859999995</c:v>
                </c:pt>
                <c:pt idx="22">
                  <c:v>0.64658450859999994</c:v>
                </c:pt>
                <c:pt idx="23">
                  <c:v>0.64477350859999993</c:v>
                </c:pt>
                <c:pt idx="24">
                  <c:v>0.64293450860000001</c:v>
                </c:pt>
                <c:pt idx="25">
                  <c:v>0.64111350859999994</c:v>
                </c:pt>
                <c:pt idx="26">
                  <c:v>0.63928250860000002</c:v>
                </c:pt>
                <c:pt idx="27">
                  <c:v>0.63744750859999999</c:v>
                </c:pt>
                <c:pt idx="28">
                  <c:v>0.63557450859999998</c:v>
                </c:pt>
                <c:pt idx="29">
                  <c:v>0.63375050859999993</c:v>
                </c:pt>
                <c:pt idx="30">
                  <c:v>0.63188650859999995</c:v>
                </c:pt>
                <c:pt idx="31">
                  <c:v>0.63003950860000002</c:v>
                </c:pt>
                <c:pt idx="32">
                  <c:v>0.62817750859999999</c:v>
                </c:pt>
                <c:pt idx="33">
                  <c:v>0.62631450859999993</c:v>
                </c:pt>
                <c:pt idx="34">
                  <c:v>0.6244445086</c:v>
                </c:pt>
                <c:pt idx="35">
                  <c:v>0.62254150860000002</c:v>
                </c:pt>
                <c:pt idx="36">
                  <c:v>0.62064950860000001</c:v>
                </c:pt>
                <c:pt idx="37">
                  <c:v>0.61875850859999992</c:v>
                </c:pt>
                <c:pt idx="38">
                  <c:v>0.61684050859999995</c:v>
                </c:pt>
                <c:pt idx="39">
                  <c:v>0.61494550859999997</c:v>
                </c:pt>
                <c:pt idx="40">
                  <c:v>0.61298350859999995</c:v>
                </c:pt>
                <c:pt idx="41">
                  <c:v>0.61104050859999992</c:v>
                </c:pt>
                <c:pt idx="42">
                  <c:v>0.60908050859999996</c:v>
                </c:pt>
                <c:pt idx="43">
                  <c:v>0.60709250859999997</c:v>
                </c:pt>
                <c:pt idx="44">
                  <c:v>0.60509450860000003</c:v>
                </c:pt>
                <c:pt idx="45">
                  <c:v>0.60311150859999996</c:v>
                </c:pt>
                <c:pt idx="46">
                  <c:v>0.60109050860000002</c:v>
                </c:pt>
                <c:pt idx="47">
                  <c:v>0.59906750860000002</c:v>
                </c:pt>
                <c:pt idx="48">
                  <c:v>0.59700950860000002</c:v>
                </c:pt>
                <c:pt idx="49">
                  <c:v>0.59494050860000003</c:v>
                </c:pt>
                <c:pt idx="50">
                  <c:v>0.59283350859999995</c:v>
                </c:pt>
                <c:pt idx="51">
                  <c:v>0.59069750859999992</c:v>
                </c:pt>
                <c:pt idx="52">
                  <c:v>0.58852750860000003</c:v>
                </c:pt>
                <c:pt idx="53">
                  <c:v>0.58635750860000002</c:v>
                </c:pt>
                <c:pt idx="54">
                  <c:v>0.58413950859999997</c:v>
                </c:pt>
                <c:pt idx="55">
                  <c:v>0.58191650859999999</c:v>
                </c:pt>
                <c:pt idx="56">
                  <c:v>0.57966550859999999</c:v>
                </c:pt>
                <c:pt idx="57">
                  <c:v>0.57737550859999998</c:v>
                </c:pt>
                <c:pt idx="58">
                  <c:v>0.57505650860000002</c:v>
                </c:pt>
                <c:pt idx="59">
                  <c:v>0.57268350859999995</c:v>
                </c:pt>
                <c:pt idx="60">
                  <c:v>0.57030150859999995</c:v>
                </c:pt>
                <c:pt idx="61">
                  <c:v>0.56784550859999994</c:v>
                </c:pt>
                <c:pt idx="62">
                  <c:v>0.56534550859999999</c:v>
                </c:pt>
                <c:pt idx="63">
                  <c:v>0.56283450859999995</c:v>
                </c:pt>
                <c:pt idx="64">
                  <c:v>0.56022050859999994</c:v>
                </c:pt>
                <c:pt idx="65">
                  <c:v>0.55758950860000001</c:v>
                </c:pt>
                <c:pt idx="66">
                  <c:v>0.55490050859999995</c:v>
                </c:pt>
                <c:pt idx="67">
                  <c:v>0.55210450859999993</c:v>
                </c:pt>
                <c:pt idx="68">
                  <c:v>0.54927150859999996</c:v>
                </c:pt>
                <c:pt idx="69">
                  <c:v>0.54639050859999994</c:v>
                </c:pt>
                <c:pt idx="70">
                  <c:v>0.54343550860000001</c:v>
                </c:pt>
                <c:pt idx="71">
                  <c:v>0.54037250859999997</c:v>
                </c:pt>
                <c:pt idx="72">
                  <c:v>0.53720850860000002</c:v>
                </c:pt>
                <c:pt idx="73">
                  <c:v>0.53398950859999994</c:v>
                </c:pt>
                <c:pt idx="74">
                  <c:v>0.53065450859999996</c:v>
                </c:pt>
                <c:pt idx="75">
                  <c:v>0.52717150859999995</c:v>
                </c:pt>
                <c:pt idx="76">
                  <c:v>0.52360050859999996</c:v>
                </c:pt>
                <c:pt idx="77">
                  <c:v>0.51994850859999997</c:v>
                </c:pt>
                <c:pt idx="78">
                  <c:v>0.51619050859999993</c:v>
                </c:pt>
                <c:pt idx="79">
                  <c:v>0.51230150860000001</c:v>
                </c:pt>
                <c:pt idx="80">
                  <c:v>0.50830950860000002</c:v>
                </c:pt>
                <c:pt idx="81">
                  <c:v>0.50415150860000002</c:v>
                </c:pt>
                <c:pt idx="82">
                  <c:v>0.4999115086</c:v>
                </c:pt>
                <c:pt idx="83">
                  <c:v>0.49551050859999995</c:v>
                </c:pt>
                <c:pt idx="84">
                  <c:v>0.49102250859999996</c:v>
                </c:pt>
                <c:pt idx="85">
                  <c:v>0.4863655086</c:v>
                </c:pt>
                <c:pt idx="86">
                  <c:v>0.48163250859999995</c:v>
                </c:pt>
                <c:pt idx="87">
                  <c:v>0.47672950859999996</c:v>
                </c:pt>
                <c:pt idx="88">
                  <c:v>0.47172950859999996</c:v>
                </c:pt>
                <c:pt idx="89">
                  <c:v>0.46659850859999996</c:v>
                </c:pt>
                <c:pt idx="90">
                  <c:v>0.4613395086</c:v>
                </c:pt>
                <c:pt idx="91">
                  <c:v>0.45608250859999999</c:v>
                </c:pt>
                <c:pt idx="92">
                  <c:v>0.4507375086</c:v>
                </c:pt>
                <c:pt idx="93">
                  <c:v>0.44530550859999996</c:v>
                </c:pt>
                <c:pt idx="94">
                  <c:v>0.43981850859999999</c:v>
                </c:pt>
                <c:pt idx="95">
                  <c:v>0.43431950859999996</c:v>
                </c:pt>
                <c:pt idx="96">
                  <c:v>0.42882150859999996</c:v>
                </c:pt>
                <c:pt idx="97">
                  <c:v>0.42324850859999996</c:v>
                </c:pt>
                <c:pt idx="98">
                  <c:v>0.41766850859999999</c:v>
                </c:pt>
                <c:pt idx="99">
                  <c:v>0.4120995086</c:v>
                </c:pt>
                <c:pt idx="100">
                  <c:v>0.40658650859999995</c:v>
                </c:pt>
                <c:pt idx="101">
                  <c:v>0.40107850859999999</c:v>
                </c:pt>
                <c:pt idx="102">
                  <c:v>0.39558950859999997</c:v>
                </c:pt>
                <c:pt idx="103">
                  <c:v>0.39017650859999997</c:v>
                </c:pt>
                <c:pt idx="104">
                  <c:v>0.3847955086</c:v>
                </c:pt>
                <c:pt idx="105">
                  <c:v>0.3794925086</c:v>
                </c:pt>
                <c:pt idx="106">
                  <c:v>0.37423350859999999</c:v>
                </c:pt>
                <c:pt idx="107">
                  <c:v>0.36901650859999996</c:v>
                </c:pt>
                <c:pt idx="108">
                  <c:v>0.36391150859999999</c:v>
                </c:pt>
                <c:pt idx="109">
                  <c:v>0.3588695086</c:v>
                </c:pt>
                <c:pt idx="110">
                  <c:v>0.3539295086</c:v>
                </c:pt>
                <c:pt idx="111">
                  <c:v>0.34903650859999996</c:v>
                </c:pt>
                <c:pt idx="112">
                  <c:v>0.34425250859999995</c:v>
                </c:pt>
                <c:pt idx="113">
                  <c:v>0.33953550859999998</c:v>
                </c:pt>
                <c:pt idx="114">
                  <c:v>0.33495650859999998</c:v>
                </c:pt>
                <c:pt idx="115">
                  <c:v>0.32079450859999997</c:v>
                </c:pt>
                <c:pt idx="116">
                  <c:v>0.24921250860000002</c:v>
                </c:pt>
                <c:pt idx="117">
                  <c:v>0.2130275086</c:v>
                </c:pt>
              </c:numCache>
            </c:numRef>
          </c:xVal>
          <c:yVal>
            <c:numRef>
              <c:f>Calc!$L$15:$L$132</c:f>
              <c:numCache>
                <c:formatCode>0.000</c:formatCode>
                <c:ptCount val="118"/>
                <c:pt idx="0">
                  <c:v>5.3394102917205926</c:v>
                </c:pt>
                <c:pt idx="1">
                  <c:v>5.1372583903911986</c:v>
                </c:pt>
                <c:pt idx="2">
                  <c:v>4.8757300081088326</c:v>
                </c:pt>
                <c:pt idx="3">
                  <c:v>4.576949766493227</c:v>
                </c:pt>
                <c:pt idx="4">
                  <c:v>4.283646769811547</c:v>
                </c:pt>
                <c:pt idx="5">
                  <c:v>4.0174777746246502</c:v>
                </c:pt>
                <c:pt idx="6">
                  <c:v>3.7738978230815015</c:v>
                </c:pt>
                <c:pt idx="7">
                  <c:v>3.5473893896955548</c:v>
                </c:pt>
                <c:pt idx="8">
                  <c:v>3.3376522060531681</c:v>
                </c:pt>
                <c:pt idx="9">
                  <c:v>3.1420477174068782</c:v>
                </c:pt>
                <c:pt idx="10">
                  <c:v>2.9579603742662894</c:v>
                </c:pt>
                <c:pt idx="11">
                  <c:v>2.7853178705676496</c:v>
                </c:pt>
                <c:pt idx="12">
                  <c:v>2.6252091701048053</c:v>
                </c:pt>
                <c:pt idx="13">
                  <c:v>2.4732387406660714</c:v>
                </c:pt>
                <c:pt idx="14">
                  <c:v>2.3324129752670237</c:v>
                </c:pt>
                <c:pt idx="15">
                  <c:v>2.2001646890632465</c:v>
                </c:pt>
                <c:pt idx="16">
                  <c:v>2.0755352746102336</c:v>
                </c:pt>
                <c:pt idx="17">
                  <c:v>1.9590930583175443</c:v>
                </c:pt>
                <c:pt idx="18">
                  <c:v>1.8506244697227552</c:v>
                </c:pt>
                <c:pt idx="19">
                  <c:v>1.7471564820989003</c:v>
                </c:pt>
                <c:pt idx="20">
                  <c:v>1.651798075875728</c:v>
                </c:pt>
                <c:pt idx="21">
                  <c:v>1.5618158975378584</c:v>
                </c:pt>
                <c:pt idx="22">
                  <c:v>1.476122631402679</c:v>
                </c:pt>
                <c:pt idx="23">
                  <c:v>1.3952737129245851</c:v>
                </c:pt>
                <c:pt idx="24">
                  <c:v>1.3204525926921749</c:v>
                </c:pt>
                <c:pt idx="25">
                  <c:v>1.2496577927923849</c:v>
                </c:pt>
                <c:pt idx="26">
                  <c:v>1.1831905485433551</c:v>
                </c:pt>
                <c:pt idx="27">
                  <c:v>1.1209074910831944</c:v>
                </c:pt>
                <c:pt idx="28">
                  <c:v>1.0622387596034271</c:v>
                </c:pt>
                <c:pt idx="29">
                  <c:v>1.0058072805063154</c:v>
                </c:pt>
                <c:pt idx="30">
                  <c:v>0.95398476159241885</c:v>
                </c:pt>
                <c:pt idx="31">
                  <c:v>0.90394354528469034</c:v>
                </c:pt>
                <c:pt idx="32">
                  <c:v>0.85668527454355337</c:v>
                </c:pt>
                <c:pt idx="33">
                  <c:v>0.8126291367830456</c:v>
                </c:pt>
                <c:pt idx="34">
                  <c:v>0.77060942436258617</c:v>
                </c:pt>
                <c:pt idx="35">
                  <c:v>0.7314798070219114</c:v>
                </c:pt>
                <c:pt idx="36">
                  <c:v>0.69429123657132952</c:v>
                </c:pt>
                <c:pt idx="37">
                  <c:v>0.65936584256944009</c:v>
                </c:pt>
                <c:pt idx="38">
                  <c:v>0.62603168102584006</c:v>
                </c:pt>
                <c:pt idx="39">
                  <c:v>0.594598771200603</c:v>
                </c:pt>
                <c:pt idx="40">
                  <c:v>0.56530480655555271</c:v>
                </c:pt>
                <c:pt idx="41">
                  <c:v>0.53685438521470397</c:v>
                </c:pt>
                <c:pt idx="42">
                  <c:v>0.51030928941933706</c:v>
                </c:pt>
                <c:pt idx="43">
                  <c:v>0.48504159493321686</c:v>
                </c:pt>
                <c:pt idx="44">
                  <c:v>0.46112802322731816</c:v>
                </c:pt>
                <c:pt idx="45">
                  <c:v>0.43834936194211388</c:v>
                </c:pt>
                <c:pt idx="46">
                  <c:v>0.41704449681653849</c:v>
                </c:pt>
                <c:pt idx="47">
                  <c:v>0.39678637759913715</c:v>
                </c:pt>
                <c:pt idx="48">
                  <c:v>0.37747325197667558</c:v>
                </c:pt>
                <c:pt idx="49">
                  <c:v>0.35926190955779808</c:v>
                </c:pt>
                <c:pt idx="50">
                  <c:v>0.34181527782670107</c:v>
                </c:pt>
                <c:pt idx="51">
                  <c:v>0.32515184903414751</c:v>
                </c:pt>
                <c:pt idx="52">
                  <c:v>0.30920828723620003</c:v>
                </c:pt>
                <c:pt idx="53">
                  <c:v>0.29381628858777736</c:v>
                </c:pt>
                <c:pt idx="54">
                  <c:v>0.27947216776254791</c:v>
                </c:pt>
                <c:pt idx="55">
                  <c:v>0.26589146451847706</c:v>
                </c:pt>
                <c:pt idx="56">
                  <c:v>0.25294442903499764</c:v>
                </c:pt>
                <c:pt idx="57">
                  <c:v>0.24093513235448275</c:v>
                </c:pt>
                <c:pt idx="58">
                  <c:v>0.22924155228437829</c:v>
                </c:pt>
                <c:pt idx="59">
                  <c:v>0.21828447697739248</c:v>
                </c:pt>
                <c:pt idx="60">
                  <c:v>0.20785370226104416</c:v>
                </c:pt>
                <c:pt idx="61">
                  <c:v>0.19778954863658033</c:v>
                </c:pt>
                <c:pt idx="62">
                  <c:v>0.18820342024029943</c:v>
                </c:pt>
                <c:pt idx="63">
                  <c:v>0.17911408014113142</c:v>
                </c:pt>
                <c:pt idx="64">
                  <c:v>0.1706625913662263</c:v>
                </c:pt>
                <c:pt idx="65">
                  <c:v>0.16253284330932574</c:v>
                </c:pt>
                <c:pt idx="66">
                  <c:v>0.15472428666685956</c:v>
                </c:pt>
                <c:pt idx="67">
                  <c:v>0.14724844563855999</c:v>
                </c:pt>
                <c:pt idx="68">
                  <c:v>0.14037279389928642</c:v>
                </c:pt>
                <c:pt idx="69">
                  <c:v>0.13357918291418999</c:v>
                </c:pt>
                <c:pt idx="70">
                  <c:v>0.12734663220065642</c:v>
                </c:pt>
                <c:pt idx="71">
                  <c:v>0.12125293217721075</c:v>
                </c:pt>
                <c:pt idx="72">
                  <c:v>0.11532730401829751</c:v>
                </c:pt>
                <c:pt idx="73">
                  <c:v>0.1099068686643587</c:v>
                </c:pt>
                <c:pt idx="74">
                  <c:v>0.10458415206100591</c:v>
                </c:pt>
                <c:pt idx="75">
                  <c:v>9.9588326987913256E-2</c:v>
                </c:pt>
                <c:pt idx="76">
                  <c:v>9.48820928981738E-2</c:v>
                </c:pt>
                <c:pt idx="77">
                  <c:v>9.0125478913470156E-2</c:v>
                </c:pt>
                <c:pt idx="78">
                  <c:v>8.5687074560496485E-2</c:v>
                </c:pt>
                <c:pt idx="79">
                  <c:v>8.1574062053157398E-2</c:v>
                </c:pt>
                <c:pt idx="80">
                  <c:v>7.7639857720459934E-2</c:v>
                </c:pt>
                <c:pt idx="81">
                  <c:v>7.3968173025991346E-2</c:v>
                </c:pt>
                <c:pt idx="82">
                  <c:v>7.0424527540739898E-2</c:v>
                </c:pt>
                <c:pt idx="83">
                  <c:v>6.6704721292474844E-2</c:v>
                </c:pt>
                <c:pt idx="84">
                  <c:v>6.3638184560383004E-2</c:v>
                </c:pt>
                <c:pt idx="85">
                  <c:v>6.0328080185423641E-2</c:v>
                </c:pt>
                <c:pt idx="86">
                  <c:v>5.7382102461280518E-2</c:v>
                </c:pt>
                <c:pt idx="87">
                  <c:v>5.4611331192547623E-2</c:v>
                </c:pt>
                <c:pt idx="88">
                  <c:v>5.1720443040287147E-2</c:v>
                </c:pt>
                <c:pt idx="89">
                  <c:v>4.9393790788793843E-2</c:v>
                </c:pt>
                <c:pt idx="90">
                  <c:v>4.6901936212388994E-2</c:v>
                </c:pt>
                <c:pt idx="91">
                  <c:v>4.4429861399943975E-2</c:v>
                </c:pt>
                <c:pt idx="92">
                  <c:v>4.2036510015401839E-2</c:v>
                </c:pt>
                <c:pt idx="93">
                  <c:v>3.9953281053999534E-2</c:v>
                </c:pt>
                <c:pt idx="94">
                  <c:v>3.8067689029792975E-2</c:v>
                </c:pt>
                <c:pt idx="95">
                  <c:v>3.6006222350557088E-2</c:v>
                </c:pt>
                <c:pt idx="96">
                  <c:v>3.4002230693948907E-2</c:v>
                </c:pt>
                <c:pt idx="97">
                  <c:v>3.2447766819368902E-2</c:v>
                </c:pt>
                <c:pt idx="98">
                  <c:v>3.0791335849281256E-2</c:v>
                </c:pt>
                <c:pt idx="99">
                  <c:v>2.921038142166453E-2</c:v>
                </c:pt>
                <c:pt idx="100">
                  <c:v>2.762072292029772E-2</c:v>
                </c:pt>
                <c:pt idx="101">
                  <c:v>2.6069076221426898E-2</c:v>
                </c:pt>
                <c:pt idx="102">
                  <c:v>2.4695192384580046E-2</c:v>
                </c:pt>
                <c:pt idx="103">
                  <c:v>2.3312286274537845E-2</c:v>
                </c:pt>
                <c:pt idx="104">
                  <c:v>2.2153739219252226E-2</c:v>
                </c:pt>
                <c:pt idx="105">
                  <c:v>2.1154069365885105E-2</c:v>
                </c:pt>
                <c:pt idx="106">
                  <c:v>1.9949274098544547E-2</c:v>
                </c:pt>
                <c:pt idx="107">
                  <c:v>1.8856631643519702E-2</c:v>
                </c:pt>
                <c:pt idx="108">
                  <c:v>1.7792085135858525E-2</c:v>
                </c:pt>
                <c:pt idx="109">
                  <c:v>1.6970334040127252E-2</c:v>
                </c:pt>
                <c:pt idx="110">
                  <c:v>1.6027311875572561E-2</c:v>
                </c:pt>
                <c:pt idx="111">
                  <c:v>1.5149700451541235E-2</c:v>
                </c:pt>
                <c:pt idx="112">
                  <c:v>1.4356128641346642E-2</c:v>
                </c:pt>
                <c:pt idx="113">
                  <c:v>1.3562603846197641E-2</c:v>
                </c:pt>
                <c:pt idx="114">
                  <c:v>1.2909107200573621E-2</c:v>
                </c:pt>
                <c:pt idx="115">
                  <c:v>1.0865490893154061E-2</c:v>
                </c:pt>
                <c:pt idx="116">
                  <c:v>3.1457884379549896E-3</c:v>
                </c:pt>
                <c:pt idx="117">
                  <c:v>1.3720953230822069E-3</c:v>
                </c:pt>
              </c:numCache>
            </c:numRef>
          </c:yVal>
          <c:smooth val="1"/>
        </c:ser>
        <c:ser>
          <c:idx val="1"/>
          <c:order val="1"/>
          <c:tx>
            <c:v>Double Diode Fit</c:v>
          </c:tx>
          <c:spPr>
            <a:ln>
              <a:solidFill>
                <a:schemeClr val="tx1"/>
              </a:solidFill>
            </a:ln>
          </c:spPr>
          <c:marker>
            <c:symbol val="none"/>
          </c:marker>
          <c:xVal>
            <c:numRef>
              <c:f>Calc!$D$15:$D$132</c:f>
              <c:numCache>
                <c:formatCode>0.000</c:formatCode>
                <c:ptCount val="118"/>
                <c:pt idx="0">
                  <c:v>0.68623350859999999</c:v>
                </c:pt>
                <c:pt idx="1">
                  <c:v>0.68454250859999999</c:v>
                </c:pt>
                <c:pt idx="2">
                  <c:v>0.68282950860000002</c:v>
                </c:pt>
                <c:pt idx="3">
                  <c:v>0.68109250859999992</c:v>
                </c:pt>
                <c:pt idx="4">
                  <c:v>0.67929950859999999</c:v>
                </c:pt>
                <c:pt idx="5">
                  <c:v>0.6775005086</c:v>
                </c:pt>
                <c:pt idx="6">
                  <c:v>0.67568950859999999</c:v>
                </c:pt>
                <c:pt idx="7">
                  <c:v>0.67389950860000003</c:v>
                </c:pt>
                <c:pt idx="8">
                  <c:v>0.67210750860000001</c:v>
                </c:pt>
                <c:pt idx="9">
                  <c:v>0.67027650859999999</c:v>
                </c:pt>
                <c:pt idx="10">
                  <c:v>0.66846150859999998</c:v>
                </c:pt>
                <c:pt idx="11">
                  <c:v>0.66667150860000002</c:v>
                </c:pt>
                <c:pt idx="12">
                  <c:v>0.66482650859999992</c:v>
                </c:pt>
                <c:pt idx="13">
                  <c:v>0.66301950860000003</c:v>
                </c:pt>
                <c:pt idx="14">
                  <c:v>0.66120450860000002</c:v>
                </c:pt>
                <c:pt idx="15">
                  <c:v>0.65939150859999995</c:v>
                </c:pt>
                <c:pt idx="16">
                  <c:v>0.65757150860000002</c:v>
                </c:pt>
                <c:pt idx="17">
                  <c:v>0.65573850859999994</c:v>
                </c:pt>
                <c:pt idx="18">
                  <c:v>0.65389650859999993</c:v>
                </c:pt>
                <c:pt idx="19">
                  <c:v>0.65210250859999996</c:v>
                </c:pt>
                <c:pt idx="20">
                  <c:v>0.65027350859999999</c:v>
                </c:pt>
                <c:pt idx="21">
                  <c:v>0.64842650859999995</c:v>
                </c:pt>
                <c:pt idx="22">
                  <c:v>0.64658450859999994</c:v>
                </c:pt>
                <c:pt idx="23">
                  <c:v>0.64477350859999993</c:v>
                </c:pt>
                <c:pt idx="24">
                  <c:v>0.64293450860000001</c:v>
                </c:pt>
                <c:pt idx="25">
                  <c:v>0.64111350859999994</c:v>
                </c:pt>
                <c:pt idx="26">
                  <c:v>0.63928250860000002</c:v>
                </c:pt>
                <c:pt idx="27">
                  <c:v>0.63744750859999999</c:v>
                </c:pt>
                <c:pt idx="28">
                  <c:v>0.63557450859999998</c:v>
                </c:pt>
                <c:pt idx="29">
                  <c:v>0.63375050859999993</c:v>
                </c:pt>
                <c:pt idx="30">
                  <c:v>0.63188650859999995</c:v>
                </c:pt>
                <c:pt idx="31">
                  <c:v>0.63003950860000002</c:v>
                </c:pt>
                <c:pt idx="32">
                  <c:v>0.62817750859999999</c:v>
                </c:pt>
                <c:pt idx="33">
                  <c:v>0.62631450859999993</c:v>
                </c:pt>
                <c:pt idx="34">
                  <c:v>0.6244445086</c:v>
                </c:pt>
                <c:pt idx="35">
                  <c:v>0.62254150860000002</c:v>
                </c:pt>
                <c:pt idx="36">
                  <c:v>0.62064950860000001</c:v>
                </c:pt>
                <c:pt idx="37">
                  <c:v>0.61875850859999992</c:v>
                </c:pt>
                <c:pt idx="38">
                  <c:v>0.61684050859999995</c:v>
                </c:pt>
                <c:pt idx="39">
                  <c:v>0.61494550859999997</c:v>
                </c:pt>
                <c:pt idx="40">
                  <c:v>0.61298350859999995</c:v>
                </c:pt>
                <c:pt idx="41">
                  <c:v>0.61104050859999992</c:v>
                </c:pt>
                <c:pt idx="42">
                  <c:v>0.60908050859999996</c:v>
                </c:pt>
                <c:pt idx="43">
                  <c:v>0.60709250859999997</c:v>
                </c:pt>
                <c:pt idx="44">
                  <c:v>0.60509450860000003</c:v>
                </c:pt>
                <c:pt idx="45">
                  <c:v>0.60311150859999996</c:v>
                </c:pt>
                <c:pt idx="46">
                  <c:v>0.60109050860000002</c:v>
                </c:pt>
                <c:pt idx="47">
                  <c:v>0.59906750860000002</c:v>
                </c:pt>
                <c:pt idx="48">
                  <c:v>0.59700950860000002</c:v>
                </c:pt>
                <c:pt idx="49">
                  <c:v>0.59494050860000003</c:v>
                </c:pt>
                <c:pt idx="50">
                  <c:v>0.59283350859999995</c:v>
                </c:pt>
                <c:pt idx="51">
                  <c:v>0.59069750859999992</c:v>
                </c:pt>
                <c:pt idx="52">
                  <c:v>0.58852750860000003</c:v>
                </c:pt>
                <c:pt idx="53">
                  <c:v>0.58635750860000002</c:v>
                </c:pt>
                <c:pt idx="54">
                  <c:v>0.58413950859999997</c:v>
                </c:pt>
                <c:pt idx="55">
                  <c:v>0.58191650859999999</c:v>
                </c:pt>
                <c:pt idx="56">
                  <c:v>0.57966550859999999</c:v>
                </c:pt>
                <c:pt idx="57">
                  <c:v>0.57737550859999998</c:v>
                </c:pt>
                <c:pt idx="58">
                  <c:v>0.57505650860000002</c:v>
                </c:pt>
                <c:pt idx="59">
                  <c:v>0.57268350859999995</c:v>
                </c:pt>
                <c:pt idx="60">
                  <c:v>0.57030150859999995</c:v>
                </c:pt>
                <c:pt idx="61">
                  <c:v>0.56784550859999994</c:v>
                </c:pt>
                <c:pt idx="62">
                  <c:v>0.56534550859999999</c:v>
                </c:pt>
                <c:pt idx="63">
                  <c:v>0.56283450859999995</c:v>
                </c:pt>
                <c:pt idx="64">
                  <c:v>0.56022050859999994</c:v>
                </c:pt>
                <c:pt idx="65">
                  <c:v>0.55758950860000001</c:v>
                </c:pt>
                <c:pt idx="66">
                  <c:v>0.55490050859999995</c:v>
                </c:pt>
                <c:pt idx="67">
                  <c:v>0.55210450859999993</c:v>
                </c:pt>
                <c:pt idx="68">
                  <c:v>0.54927150859999996</c:v>
                </c:pt>
                <c:pt idx="69">
                  <c:v>0.54639050859999994</c:v>
                </c:pt>
                <c:pt idx="70">
                  <c:v>0.54343550860000001</c:v>
                </c:pt>
                <c:pt idx="71">
                  <c:v>0.54037250859999997</c:v>
                </c:pt>
                <c:pt idx="72">
                  <c:v>0.53720850860000002</c:v>
                </c:pt>
                <c:pt idx="73">
                  <c:v>0.53398950859999994</c:v>
                </c:pt>
                <c:pt idx="74">
                  <c:v>0.53065450859999996</c:v>
                </c:pt>
                <c:pt idx="75">
                  <c:v>0.52717150859999995</c:v>
                </c:pt>
                <c:pt idx="76">
                  <c:v>0.52360050859999996</c:v>
                </c:pt>
                <c:pt idx="77">
                  <c:v>0.51994850859999997</c:v>
                </c:pt>
                <c:pt idx="78">
                  <c:v>0.51619050859999993</c:v>
                </c:pt>
                <c:pt idx="79">
                  <c:v>0.51230150860000001</c:v>
                </c:pt>
                <c:pt idx="80">
                  <c:v>0.50830950860000002</c:v>
                </c:pt>
                <c:pt idx="81">
                  <c:v>0.50415150860000002</c:v>
                </c:pt>
                <c:pt idx="82">
                  <c:v>0.4999115086</c:v>
                </c:pt>
                <c:pt idx="83">
                  <c:v>0.49551050859999995</c:v>
                </c:pt>
                <c:pt idx="84">
                  <c:v>0.49102250859999996</c:v>
                </c:pt>
                <c:pt idx="85">
                  <c:v>0.4863655086</c:v>
                </c:pt>
                <c:pt idx="86">
                  <c:v>0.48163250859999995</c:v>
                </c:pt>
                <c:pt idx="87">
                  <c:v>0.47672950859999996</c:v>
                </c:pt>
                <c:pt idx="88">
                  <c:v>0.47172950859999996</c:v>
                </c:pt>
                <c:pt idx="89">
                  <c:v>0.46659850859999996</c:v>
                </c:pt>
                <c:pt idx="90">
                  <c:v>0.4613395086</c:v>
                </c:pt>
                <c:pt idx="91">
                  <c:v>0.45608250859999999</c:v>
                </c:pt>
                <c:pt idx="92">
                  <c:v>0.4507375086</c:v>
                </c:pt>
                <c:pt idx="93">
                  <c:v>0.44530550859999996</c:v>
                </c:pt>
                <c:pt idx="94">
                  <c:v>0.43981850859999999</c:v>
                </c:pt>
                <c:pt idx="95">
                  <c:v>0.43431950859999996</c:v>
                </c:pt>
                <c:pt idx="96">
                  <c:v>0.42882150859999996</c:v>
                </c:pt>
                <c:pt idx="97">
                  <c:v>0.42324850859999996</c:v>
                </c:pt>
                <c:pt idx="98">
                  <c:v>0.41766850859999999</c:v>
                </c:pt>
                <c:pt idx="99">
                  <c:v>0.4120995086</c:v>
                </c:pt>
                <c:pt idx="100">
                  <c:v>0.40658650859999995</c:v>
                </c:pt>
                <c:pt idx="101">
                  <c:v>0.40107850859999999</c:v>
                </c:pt>
                <c:pt idx="102">
                  <c:v>0.39558950859999997</c:v>
                </c:pt>
                <c:pt idx="103">
                  <c:v>0.39017650859999997</c:v>
                </c:pt>
                <c:pt idx="104">
                  <c:v>0.3847955086</c:v>
                </c:pt>
                <c:pt idx="105">
                  <c:v>0.3794925086</c:v>
                </c:pt>
                <c:pt idx="106">
                  <c:v>0.37423350859999999</c:v>
                </c:pt>
                <c:pt idx="107">
                  <c:v>0.36901650859999996</c:v>
                </c:pt>
                <c:pt idx="108">
                  <c:v>0.36391150859999999</c:v>
                </c:pt>
                <c:pt idx="109">
                  <c:v>0.3588695086</c:v>
                </c:pt>
                <c:pt idx="110">
                  <c:v>0.3539295086</c:v>
                </c:pt>
                <c:pt idx="111">
                  <c:v>0.34903650859999996</c:v>
                </c:pt>
                <c:pt idx="112">
                  <c:v>0.34425250859999995</c:v>
                </c:pt>
                <c:pt idx="113">
                  <c:v>0.33953550859999998</c:v>
                </c:pt>
                <c:pt idx="114">
                  <c:v>0.33495650859999998</c:v>
                </c:pt>
                <c:pt idx="115">
                  <c:v>0.32079450859999997</c:v>
                </c:pt>
                <c:pt idx="116">
                  <c:v>0.24921250860000002</c:v>
                </c:pt>
                <c:pt idx="117">
                  <c:v>0.2130275086</c:v>
                </c:pt>
              </c:numCache>
            </c:numRef>
          </c:xVal>
          <c:yVal>
            <c:numRef>
              <c:f>Calc!$M$15:$M$132</c:f>
              <c:numCache>
                <c:formatCode>0.000</c:formatCode>
                <c:ptCount val="118"/>
                <c:pt idx="0">
                  <c:v>4.9156550717063325</c:v>
                </c:pt>
                <c:pt idx="1">
                  <c:v>4.6523878646876913</c:v>
                </c:pt>
                <c:pt idx="2">
                  <c:v>4.4012026504239845</c:v>
                </c:pt>
                <c:pt idx="3">
                  <c:v>4.1614602024916136</c:v>
                </c:pt>
                <c:pt idx="4">
                  <c:v>3.9288076027060064</c:v>
                </c:pt>
                <c:pt idx="5">
                  <c:v>3.7095512943748887</c:v>
                </c:pt>
                <c:pt idx="6">
                  <c:v>3.5022575971600709</c:v>
                </c:pt>
                <c:pt idx="7">
                  <c:v>3.3097607696324012</c:v>
                </c:pt>
                <c:pt idx="8">
                  <c:v>3.1286066302170594</c:v>
                </c:pt>
                <c:pt idx="9">
                  <c:v>2.9546948415971088</c:v>
                </c:pt>
                <c:pt idx="10">
                  <c:v>2.792749001791595</c:v>
                </c:pt>
                <c:pt idx="11">
                  <c:v>2.6425724222139948</c:v>
                </c:pt>
                <c:pt idx="12">
                  <c:v>2.497064395853017</c:v>
                </c:pt>
                <c:pt idx="13">
                  <c:v>2.3631086194327304</c:v>
                </c:pt>
                <c:pt idx="14">
                  <c:v>2.2365410486237045</c:v>
                </c:pt>
                <c:pt idx="15">
                  <c:v>2.1175954898358049</c:v>
                </c:pt>
                <c:pt idx="16">
                  <c:v>2.0052386293462034</c:v>
                </c:pt>
                <c:pt idx="17">
                  <c:v>1.8987666826600409</c:v>
                </c:pt>
                <c:pt idx="18">
                  <c:v>1.7981054920609538</c:v>
                </c:pt>
                <c:pt idx="19">
                  <c:v>1.705787467268179</c:v>
                </c:pt>
                <c:pt idx="20">
                  <c:v>1.6171158457273542</c:v>
                </c:pt>
                <c:pt idx="21">
                  <c:v>1.5328048658633324</c:v>
                </c:pt>
                <c:pt idx="22">
                  <c:v>1.453631044348374</c:v>
                </c:pt>
                <c:pt idx="23">
                  <c:v>1.3802707753965755</c:v>
                </c:pt>
                <c:pt idx="24">
                  <c:v>1.3100405977641256</c:v>
                </c:pt>
                <c:pt idx="25">
                  <c:v>1.2444708579565897</c:v>
                </c:pt>
                <c:pt idx="26">
                  <c:v>1.1822812353587078</c:v>
                </c:pt>
                <c:pt idx="27">
                  <c:v>1.1234872796133009</c:v>
                </c:pt>
                <c:pt idx="28">
                  <c:v>1.066896436969702</c:v>
                </c:pt>
                <c:pt idx="29">
                  <c:v>1.0149030339241625</c:v>
                </c:pt>
                <c:pt idx="30">
                  <c:v>0.96475119993120195</c:v>
                </c:pt>
                <c:pt idx="31">
                  <c:v>0.91784809692297131</c:v>
                </c:pt>
                <c:pt idx="32">
                  <c:v>0.87320419426291429</c:v>
                </c:pt>
                <c:pt idx="33">
                  <c:v>0.83102729785692109</c:v>
                </c:pt>
                <c:pt idx="34">
                  <c:v>0.79104466225817993</c:v>
                </c:pt>
                <c:pt idx="35">
                  <c:v>0.75262818009328514</c:v>
                </c:pt>
                <c:pt idx="36">
                  <c:v>0.71656628959341162</c:v>
                </c:pt>
                <c:pt idx="37">
                  <c:v>0.68251797142208015</c:v>
                </c:pt>
                <c:pt idx="38">
                  <c:v>0.64989585663391436</c:v>
                </c:pt>
                <c:pt idx="39">
                  <c:v>0.61944113246571542</c:v>
                </c:pt>
                <c:pt idx="40">
                  <c:v>0.58965572059151028</c:v>
                </c:pt>
                <c:pt idx="41">
                  <c:v>0.56180206527253385</c:v>
                </c:pt>
                <c:pt idx="42">
                  <c:v>0.53525930690644696</c:v>
                </c:pt>
                <c:pt idx="43">
                  <c:v>0.50983399794032391</c:v>
                </c:pt>
                <c:pt idx="44">
                  <c:v>0.48570540929358053</c:v>
                </c:pt>
                <c:pt idx="45">
                  <c:v>0.46308279242568395</c:v>
                </c:pt>
                <c:pt idx="46">
                  <c:v>0.44130070194623794</c:v>
                </c:pt>
                <c:pt idx="47">
                  <c:v>0.42070556072228049</c:v>
                </c:pt>
                <c:pt idx="48">
                  <c:v>0.40091765298213428</c:v>
                </c:pt>
                <c:pt idx="49">
                  <c:v>0.38213326751921717</c:v>
                </c:pt>
                <c:pt idx="50">
                  <c:v>0.36407524707490879</c:v>
                </c:pt>
                <c:pt idx="51">
                  <c:v>0.34680257063331682</c:v>
                </c:pt>
                <c:pt idx="52">
                  <c:v>0.33025299192077473</c:v>
                </c:pt>
                <c:pt idx="53">
                  <c:v>0.31464504059533221</c:v>
                </c:pt>
                <c:pt idx="54">
                  <c:v>0.2996023945362325</c:v>
                </c:pt>
                <c:pt idx="55">
                  <c:v>0.2853900209013861</c:v>
                </c:pt>
                <c:pt idx="56">
                  <c:v>0.27182317529979944</c:v>
                </c:pt>
                <c:pt idx="57">
                  <c:v>0.25881739907416179</c:v>
                </c:pt>
                <c:pt idx="58">
                  <c:v>0.24641172947490605</c:v>
                </c:pt>
                <c:pt idx="59">
                  <c:v>0.23446131912532717</c:v>
                </c:pt>
                <c:pt idx="60">
                  <c:v>0.2231723502979886</c:v>
                </c:pt>
                <c:pt idx="61">
                  <c:v>0.2122243824811538</c:v>
                </c:pt>
                <c:pt idx="62">
                  <c:v>0.20175272879569126</c:v>
                </c:pt>
                <c:pt idx="63">
                  <c:v>0.19187125513069267</c:v>
                </c:pt>
                <c:pt idx="64">
                  <c:v>0.18221503694969499</c:v>
                </c:pt>
                <c:pt idx="65">
                  <c:v>0.17310029449977127</c:v>
                </c:pt>
                <c:pt idx="66">
                  <c:v>0.1643667837831552</c:v>
                </c:pt>
                <c:pt idx="67">
                  <c:v>0.15586517971462371</c:v>
                </c:pt>
                <c:pt idx="68">
                  <c:v>0.14780980227172302</c:v>
                </c:pt>
                <c:pt idx="69">
                  <c:v>0.14015225470218676</c:v>
                </c:pt>
                <c:pt idx="70">
                  <c:v>0.13281619398701983</c:v>
                </c:pt>
                <c:pt idx="71">
                  <c:v>0.12572409685827357</c:v>
                </c:pt>
                <c:pt idx="72">
                  <c:v>0.11890333917985874</c:v>
                </c:pt>
                <c:pt idx="73">
                  <c:v>0.11244958088092982</c:v>
                </c:pt>
                <c:pt idx="74">
                  <c:v>0.10623860603457169</c:v>
                </c:pt>
                <c:pt idx="75">
                  <c:v>0.10022640236807211</c:v>
                </c:pt>
                <c:pt idx="76">
                  <c:v>9.4523605263871907E-2</c:v>
                </c:pt>
                <c:pt idx="77">
                  <c:v>8.9133538336211182E-2</c:v>
                </c:pt>
                <c:pt idx="78">
                  <c:v>8.4013568674106948E-2</c:v>
                </c:pt>
                <c:pt idx="79">
                  <c:v>7.9130804969971061E-2</c:v>
                </c:pt>
                <c:pt idx="80">
                  <c:v>7.4519310278262266E-2</c:v>
                </c:pt>
                <c:pt idx="81">
                  <c:v>7.0108277890382625E-2</c:v>
                </c:pt>
                <c:pt idx="82">
                  <c:v>6.5984239439433975E-2</c:v>
                </c:pt>
                <c:pt idx="83">
                  <c:v>6.2065287567549421E-2</c:v>
                </c:pt>
                <c:pt idx="84">
                  <c:v>5.8411937732080123E-2</c:v>
                </c:pt>
                <c:pt idx="85">
                  <c:v>5.4951484674296676E-2</c:v>
                </c:pt>
                <c:pt idx="86">
                  <c:v>5.174528605713203E-2</c:v>
                </c:pt>
                <c:pt idx="87">
                  <c:v>4.8720953635418202E-2</c:v>
                </c:pt>
                <c:pt idx="88">
                  <c:v>4.5916296120023223E-2</c:v>
                </c:pt>
                <c:pt idx="89">
                  <c:v>4.3301131635735464E-2</c:v>
                </c:pt>
                <c:pt idx="90">
                  <c:v>4.0868074594511097E-2</c:v>
                </c:pt>
                <c:pt idx="91">
                  <c:v>3.8659667305114997E-2</c:v>
                </c:pt>
                <c:pt idx="92">
                  <c:v>3.6619190219051218E-2</c:v>
                </c:pt>
                <c:pt idx="93">
                  <c:v>3.4734559287733849E-2</c:v>
                </c:pt>
                <c:pt idx="94">
                  <c:v>3.300352920527589E-2</c:v>
                </c:pt>
                <c:pt idx="95">
                  <c:v>3.1424063818354546E-2</c:v>
                </c:pt>
                <c:pt idx="96">
                  <c:v>2.9983636048959705E-2</c:v>
                </c:pt>
                <c:pt idx="97">
                  <c:v>2.864992574696824E-2</c:v>
                </c:pt>
                <c:pt idx="98">
                  <c:v>2.7428305264438162E-2</c:v>
                </c:pt>
                <c:pt idx="99">
                  <c:v>2.631040154609543E-2</c:v>
                </c:pt>
                <c:pt idx="100">
                  <c:v>2.5292798560818518E-2</c:v>
                </c:pt>
                <c:pt idx="101">
                  <c:v>2.4355248080024559E-2</c:v>
                </c:pt>
                <c:pt idx="102">
                  <c:v>2.3491361345213565E-2</c:v>
                </c:pt>
                <c:pt idx="103">
                  <c:v>2.2701129477243127E-2</c:v>
                </c:pt>
                <c:pt idx="104">
                  <c:v>2.1970039335774322E-2</c:v>
                </c:pt>
                <c:pt idx="105">
                  <c:v>2.1297283038629964E-2</c:v>
                </c:pt>
                <c:pt idx="106">
                  <c:v>2.0672208447932983E-2</c:v>
                </c:pt>
                <c:pt idx="107">
                  <c:v>2.008943856943542E-2</c:v>
                </c:pt>
                <c:pt idx="108">
                  <c:v>1.9551633254157513E-2</c:v>
                </c:pt>
                <c:pt idx="109">
                  <c:v>1.9048935914392245E-2</c:v>
                </c:pt>
                <c:pt idx="110">
                  <c:v>1.8581252636437801E-2</c:v>
                </c:pt>
                <c:pt idx="111">
                  <c:v>1.8139999424420274E-2</c:v>
                </c:pt>
                <c:pt idx="112">
                  <c:v>1.7727788517332442E-2</c:v>
                </c:pt>
                <c:pt idx="113">
                  <c:v>1.7338272611627348E-2</c:v>
                </c:pt>
                <c:pt idx="114">
                  <c:v>1.697480707021088E-2</c:v>
                </c:pt>
                <c:pt idx="115">
                  <c:v>1.5929223809745714E-2</c:v>
                </c:pt>
                <c:pt idx="116">
                  <c:v>1.1713775742799136E-2</c:v>
                </c:pt>
                <c:pt idx="117">
                  <c:v>9.9012628718664203E-3</c:v>
                </c:pt>
              </c:numCache>
            </c:numRef>
          </c:yVal>
          <c:smooth val="1"/>
        </c:ser>
        <c:dLbls>
          <c:showLegendKey val="0"/>
          <c:showVal val="0"/>
          <c:showCatName val="0"/>
          <c:showSerName val="0"/>
          <c:showPercent val="0"/>
          <c:showBubbleSize val="0"/>
        </c:dLbls>
        <c:axId val="323770352"/>
        <c:axId val="261999768"/>
      </c:scatterChart>
      <c:valAx>
        <c:axId val="323770352"/>
        <c:scaling>
          <c:orientation val="minMax"/>
          <c:min val="0"/>
        </c:scaling>
        <c:delete val="0"/>
        <c:axPos val="b"/>
        <c:majorGridlines/>
        <c:title>
          <c:tx>
            <c:rich>
              <a:bodyPr/>
              <a:lstStyle/>
              <a:p>
                <a:pPr>
                  <a:defRPr sz="1200"/>
                </a:pPr>
                <a:r>
                  <a:rPr lang="en-US" sz="1200"/>
                  <a:t>Open Circuit Voltage (Volts)</a:t>
                </a:r>
              </a:p>
            </c:rich>
          </c:tx>
          <c:layout/>
          <c:overlay val="0"/>
        </c:title>
        <c:numFmt formatCode="0.0" sourceLinked="0"/>
        <c:majorTickMark val="none"/>
        <c:minorTickMark val="none"/>
        <c:tickLblPos val="low"/>
        <c:txPr>
          <a:bodyPr/>
          <a:lstStyle/>
          <a:p>
            <a:pPr>
              <a:defRPr b="1"/>
            </a:pPr>
            <a:endParaRPr lang="en-US"/>
          </a:p>
        </c:txPr>
        <c:crossAx val="261999768"/>
        <c:crosses val="autoZero"/>
        <c:crossBetween val="midCat"/>
      </c:valAx>
      <c:valAx>
        <c:axId val="261999768"/>
        <c:scaling>
          <c:logBase val="10"/>
          <c:orientation val="minMax"/>
          <c:min val="1.0000000000000041E-3"/>
        </c:scaling>
        <c:delete val="0"/>
        <c:axPos val="l"/>
        <c:majorGridlines>
          <c:spPr>
            <a:ln>
              <a:solidFill>
                <a:prstClr val="black">
                  <a:alpha val="87000"/>
                </a:prstClr>
              </a:solidFill>
            </a:ln>
          </c:spPr>
        </c:majorGridlines>
        <c:minorGridlines>
          <c:spPr>
            <a:ln>
              <a:solidFill>
                <a:prstClr val="black">
                  <a:alpha val="22000"/>
                </a:prstClr>
              </a:solidFill>
            </a:ln>
          </c:spPr>
        </c:minorGridlines>
        <c:title>
          <c:tx>
            <c:rich>
              <a:bodyPr rot="-5400000" vert="horz"/>
              <a:lstStyle/>
              <a:p>
                <a:pPr>
                  <a:defRPr sz="1200"/>
                </a:pPr>
                <a:r>
                  <a:rPr lang="en-US" sz="1200"/>
                  <a:t>Illumination (Suns)</a:t>
                </a:r>
              </a:p>
            </c:rich>
          </c:tx>
          <c:layout/>
          <c:overlay val="0"/>
        </c:title>
        <c:numFmt formatCode="#,##0.000" sourceLinked="0"/>
        <c:majorTickMark val="out"/>
        <c:minorTickMark val="none"/>
        <c:tickLblPos val="nextTo"/>
        <c:txPr>
          <a:bodyPr/>
          <a:lstStyle/>
          <a:p>
            <a:pPr>
              <a:defRPr b="1"/>
            </a:pPr>
            <a:endParaRPr lang="en-US"/>
          </a:p>
        </c:txPr>
        <c:crossAx val="323770352"/>
        <c:crosses val="autoZero"/>
        <c:crossBetween val="midCat"/>
      </c:valAx>
    </c:plotArea>
    <c:legend>
      <c:legendPos val="r"/>
      <c:layout>
        <c:manualLayout>
          <c:xMode val="edge"/>
          <c:yMode val="edge"/>
          <c:x val="0.16463888888888889"/>
          <c:y val="9.0075222432011715E-2"/>
          <c:w val="0.2958072497152005"/>
          <c:h val="0.13950027306541932"/>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511" l="0.70000000000000062" r="0.70000000000000062" t="0.750000000000005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Effective Lifetime, upper bound</a:t>
            </a:r>
          </a:p>
          <a:p>
            <a:pPr>
              <a:defRPr sz="1200"/>
            </a:pPr>
            <a:r>
              <a:rPr lang="en-US" sz="1200"/>
              <a:t>Accurate for cell with good BSF, L&gt;W, NA, W</a:t>
            </a:r>
          </a:p>
        </c:rich>
      </c:tx>
      <c:layout/>
      <c:overlay val="0"/>
    </c:title>
    <c:autoTitleDeleted val="0"/>
    <c:plotArea>
      <c:layout>
        <c:manualLayout>
          <c:layoutTarget val="inner"/>
          <c:xMode val="edge"/>
          <c:yMode val="edge"/>
          <c:x val="0.16530018376253544"/>
          <c:y val="0.16937633469985816"/>
          <c:w val="0.74544024601286862"/>
          <c:h val="0.68013303303173833"/>
        </c:manualLayout>
      </c:layout>
      <c:scatterChart>
        <c:scatterStyle val="smoothMarker"/>
        <c:varyColors val="0"/>
        <c:ser>
          <c:idx val="1"/>
          <c:order val="0"/>
          <c:tx>
            <c:v>Effective Lifetime</c:v>
          </c:tx>
          <c:spPr>
            <a:ln>
              <a:noFill/>
            </a:ln>
          </c:spPr>
          <c:marker>
            <c:symbol val="square"/>
            <c:size val="3"/>
            <c:spPr>
              <a:solidFill>
                <a:srgbClr val="FF0000"/>
              </a:solidFill>
              <a:ln>
                <a:solidFill>
                  <a:sysClr val="windowText" lastClr="000000">
                    <a:alpha val="30000"/>
                  </a:sysClr>
                </a:solidFill>
              </a:ln>
            </c:spPr>
          </c:marker>
          <c:xVal>
            <c:numRef>
              <c:f>Calc!$H$15:$H$132</c:f>
              <c:numCache>
                <c:formatCode>0.00E+00</c:formatCode>
                <c:ptCount val="118"/>
                <c:pt idx="0">
                  <c:v>2905528305938229</c:v>
                </c:pt>
                <c:pt idx="1">
                  <c:v>2760100333390812</c:v>
                </c:pt>
                <c:pt idx="2">
                  <c:v>2619087701491164</c:v>
                </c:pt>
                <c:pt idx="3">
                  <c:v>2482369712651289</c:v>
                </c:pt>
                <c:pt idx="4">
                  <c:v>2347643396890770</c:v>
                </c:pt>
                <c:pt idx="5">
                  <c:v>2218773359968956</c:v>
                </c:pt>
                <c:pt idx="6">
                  <c:v>2095197520940498</c:v>
                </c:pt>
                <c:pt idx="7">
                  <c:v>1978902924571035</c:v>
                </c:pt>
                <c:pt idx="8">
                  <c:v>1868089193656847</c:v>
                </c:pt>
                <c:pt idx="9">
                  <c:v>1760445995318175</c:v>
                </c:pt>
                <c:pt idx="10">
                  <c:v>1659099857837210</c:v>
                </c:pt>
                <c:pt idx="11">
                  <c:v>1564170595352196</c:v>
                </c:pt>
                <c:pt idx="12">
                  <c:v>1471336575041595</c:v>
                </c:pt>
                <c:pt idx="13">
                  <c:v>1385148261544841</c:v>
                </c:pt>
                <c:pt idx="14">
                  <c:v>1303100165282483</c:v>
                </c:pt>
                <c:pt idx="15">
                  <c:v>1225478486639696</c:v>
                </c:pt>
                <c:pt idx="16">
                  <c:v>1151730641550912</c:v>
                </c:pt>
                <c:pt idx="17">
                  <c:v>1081498955208384</c:v>
                </c:pt>
                <c:pt idx="18">
                  <c:v>1014827900095669</c:v>
                </c:pt>
                <c:pt idx="19">
                  <c:v>953487807539555</c:v>
                </c:pt>
                <c:pt idx="20">
                  <c:v>894434066303899</c:v>
                </c:pt>
                <c:pt idx="21">
                  <c:v>838201039706177.5</c:v>
                </c:pt>
                <c:pt idx="22">
                  <c:v>785361432937279</c:v>
                </c:pt>
                <c:pt idx="23">
                  <c:v>736412926918145.5</c:v>
                </c:pt>
                <c:pt idx="24">
                  <c:v>689602681773026.5</c:v>
                </c:pt>
                <c:pt idx="25">
                  <c:v>645981144466269.5</c:v>
                </c:pt>
                <c:pt idx="26">
                  <c:v>604719594167637</c:v>
                </c:pt>
                <c:pt idx="27">
                  <c:v>565847475769470</c:v>
                </c:pt>
                <c:pt idx="28">
                  <c:v>528594281160171</c:v>
                </c:pt>
                <c:pt idx="29">
                  <c:v>494542434382628.5</c:v>
                </c:pt>
                <c:pt idx="30">
                  <c:v>461889292083058.5</c:v>
                </c:pt>
                <c:pt idx="31">
                  <c:v>431554647735362</c:v>
                </c:pt>
                <c:pt idx="32">
                  <c:v>402894688283815</c:v>
                </c:pt>
                <c:pt idx="33">
                  <c:v>376039369485354.5</c:v>
                </c:pt>
                <c:pt idx="34">
                  <c:v>350807633521089.5</c:v>
                </c:pt>
                <c:pt idx="35">
                  <c:v>326799463812672</c:v>
                </c:pt>
                <c:pt idx="36">
                  <c:v>304498668717008.5</c:v>
                </c:pt>
                <c:pt idx="37">
                  <c:v>283677267292110</c:v>
                </c:pt>
                <c:pt idx="38">
                  <c:v>263964939958886</c:v>
                </c:pt>
                <c:pt idx="39">
                  <c:v>245793336222779.5</c:v>
                </c:pt>
                <c:pt idx="40">
                  <c:v>228258452403197</c:v>
                </c:pt>
                <c:pt idx="41">
                  <c:v>212093393151240</c:v>
                </c:pt>
                <c:pt idx="42">
                  <c:v>196917438585352</c:v>
                </c:pt>
                <c:pt idx="43">
                  <c:v>182607626370304</c:v>
                </c:pt>
                <c:pt idx="44">
                  <c:v>169250601746902.5</c:v>
                </c:pt>
                <c:pt idx="45">
                  <c:v>156940437200714.5</c:v>
                </c:pt>
                <c:pt idx="46">
                  <c:v>145297788444245</c:v>
                </c:pt>
                <c:pt idx="47">
                  <c:v>134493383029695.5</c:v>
                </c:pt>
                <c:pt idx="48">
                  <c:v>124312631859148</c:v>
                </c:pt>
                <c:pt idx="49">
                  <c:v>114842442247776</c:v>
                </c:pt>
                <c:pt idx="50">
                  <c:v>105929020674721.5</c:v>
                </c:pt>
                <c:pt idx="51">
                  <c:v>97589672162748.5</c:v>
                </c:pt>
                <c:pt idx="52">
                  <c:v>89781537736236</c:v>
                </c:pt>
                <c:pt idx="53">
                  <c:v>82591235852366</c:v>
                </c:pt>
                <c:pt idx="54">
                  <c:v>75830577580943</c:v>
                </c:pt>
                <c:pt idx="55">
                  <c:v>69604729451746.5</c:v>
                </c:pt>
                <c:pt idx="56">
                  <c:v>63816656639357.5</c:v>
                </c:pt>
                <c:pt idx="57">
                  <c:v>58418061308845.5</c:v>
                </c:pt>
                <c:pt idx="58">
                  <c:v>53412975213026</c:v>
                </c:pt>
                <c:pt idx="59">
                  <c:v>48732023722439.5</c:v>
                </c:pt>
                <c:pt idx="60">
                  <c:v>44443342821359.5</c:v>
                </c:pt>
                <c:pt idx="61">
                  <c:v>40414085913912.5</c:v>
                </c:pt>
                <c:pt idx="62">
                  <c:v>36685730616452</c:v>
                </c:pt>
                <c:pt idx="63">
                  <c:v>33285578272474.5</c:v>
                </c:pt>
                <c:pt idx="64">
                  <c:v>30078936943483.5</c:v>
                </c:pt>
                <c:pt idx="65">
                  <c:v>27162154337764.5</c:v>
                </c:pt>
                <c:pt idx="66">
                  <c:v>24472143653611.5</c:v>
                </c:pt>
                <c:pt idx="67">
                  <c:v>21956380591346</c:v>
                </c:pt>
                <c:pt idx="68">
                  <c:v>19670270479013.5</c:v>
                </c:pt>
                <c:pt idx="69">
                  <c:v>17588803930515.5</c:v>
                </c:pt>
                <c:pt idx="70">
                  <c:v>15681982960521</c:v>
                </c:pt>
                <c:pt idx="71">
                  <c:v>13922948855768</c:v>
                </c:pt>
                <c:pt idx="72">
                  <c:v>12312474093975.5</c:v>
                </c:pt>
                <c:pt idx="73">
                  <c:v>10864756181267.5</c:v>
                </c:pt>
                <c:pt idx="74">
                  <c:v>9543907700882.5</c:v>
                </c:pt>
                <c:pt idx="75">
                  <c:v>8335353597522.5</c:v>
                </c:pt>
                <c:pt idx="76">
                  <c:v>7254819921538.5</c:v>
                </c:pt>
                <c:pt idx="77">
                  <c:v>6294378501918</c:v>
                </c:pt>
                <c:pt idx="78">
                  <c:v>5438523686167.5</c:v>
                </c:pt>
                <c:pt idx="79">
                  <c:v>4675082592218.5</c:v>
                </c:pt>
                <c:pt idx="80">
                  <c:v>4002681402754</c:v>
                </c:pt>
                <c:pt idx="81">
                  <c:v>3404883829752</c:v>
                </c:pt>
                <c:pt idx="82">
                  <c:v>2887105671492</c:v>
                </c:pt>
                <c:pt idx="83">
                  <c:v>2432751719990</c:v>
                </c:pt>
                <c:pt idx="84">
                  <c:v>2042953176656</c:v>
                </c:pt>
                <c:pt idx="85">
                  <c:v>1704351908860</c:v>
                </c:pt>
                <c:pt idx="86">
                  <c:v>1417660842568.5</c:v>
                </c:pt>
                <c:pt idx="87">
                  <c:v>1171411255636</c:v>
                </c:pt>
                <c:pt idx="88">
                  <c:v>964282868622</c:v>
                </c:pt>
                <c:pt idx="89">
                  <c:v>789738288225</c:v>
                </c:pt>
                <c:pt idx="90">
                  <c:v>643571175674.5</c:v>
                </c:pt>
                <c:pt idx="91">
                  <c:v>524495966337.5</c:v>
                </c:pt>
                <c:pt idx="92">
                  <c:v>425989580889.5</c:v>
                </c:pt>
                <c:pt idx="93">
                  <c:v>344813416905.5</c:v>
                </c:pt>
                <c:pt idx="94">
                  <c:v>278508689205.5</c:v>
                </c:pt>
                <c:pt idx="95">
                  <c:v>224848368165</c:v>
                </c:pt>
                <c:pt idx="96">
                  <c:v>181533596499</c:v>
                </c:pt>
                <c:pt idx="97">
                  <c:v>146135606534.5</c:v>
                </c:pt>
                <c:pt idx="98">
                  <c:v>117607858849</c:v>
                </c:pt>
                <c:pt idx="99">
                  <c:v>94689591084.5</c:v>
                </c:pt>
                <c:pt idx="100">
                  <c:v>76403711317.5</c:v>
                </c:pt>
                <c:pt idx="101">
                  <c:v>61661058132</c:v>
                </c:pt>
                <c:pt idx="102">
                  <c:v>49799901536.5</c:v>
                </c:pt>
                <c:pt idx="103">
                  <c:v>40339500386</c:v>
                </c:pt>
                <c:pt idx="104">
                  <c:v>32716990422</c:v>
                </c:pt>
                <c:pt idx="105">
                  <c:v>26615495669.5</c:v>
                </c:pt>
                <c:pt idx="106">
                  <c:v>21688996205</c:v>
                </c:pt>
                <c:pt idx="107">
                  <c:v>17703300307.5</c:v>
                </c:pt>
                <c:pt idx="108">
                  <c:v>14513165982</c:v>
                </c:pt>
                <c:pt idx="109">
                  <c:v>11927103027</c:v>
                </c:pt>
                <c:pt idx="110">
                  <c:v>9840833960</c:v>
                </c:pt>
                <c:pt idx="111">
                  <c:v>8134357929.5</c:v>
                </c:pt>
                <c:pt idx="112">
                  <c:v>6752383693.5</c:v>
                </c:pt>
                <c:pt idx="113">
                  <c:v>5619833704</c:v>
                </c:pt>
                <c:pt idx="114">
                  <c:v>4702431567</c:v>
                </c:pt>
                <c:pt idx="115">
                  <c:v>2709789264</c:v>
                </c:pt>
                <c:pt idx="116">
                  <c:v>167090113</c:v>
                </c:pt>
                <c:pt idx="117">
                  <c:v>40859997</c:v>
                </c:pt>
              </c:numCache>
            </c:numRef>
          </c:xVal>
          <c:yVal>
            <c:numRef>
              <c:f>Calc!$O$15:$O$132</c:f>
              <c:numCache>
                <c:formatCode>0.00E+00</c:formatCode>
                <c:ptCount val="118"/>
                <c:pt idx="0">
                  <c:v>4.0133274682413029E-5</c:v>
                </c:pt>
                <c:pt idx="1">
                  <c:v>3.9624723109591308E-5</c:v>
                </c:pt>
                <c:pt idx="2">
                  <c:v>3.961714487068222E-5</c:v>
                </c:pt>
                <c:pt idx="3">
                  <c:v>4.0000286219467543E-5</c:v>
                </c:pt>
                <c:pt idx="4">
                  <c:v>4.0419529922489828E-5</c:v>
                </c:pt>
                <c:pt idx="5">
                  <c:v>4.0731672295206681E-5</c:v>
                </c:pt>
                <c:pt idx="6">
                  <c:v>4.094563540350082E-5</c:v>
                </c:pt>
                <c:pt idx="7">
                  <c:v>4.1142285036088313E-5</c:v>
                </c:pt>
                <c:pt idx="8">
                  <c:v>4.1279013458830224E-5</c:v>
                </c:pt>
                <c:pt idx="9">
                  <c:v>4.1322131141997667E-5</c:v>
                </c:pt>
                <c:pt idx="10">
                  <c:v>4.1366897993901986E-5</c:v>
                </c:pt>
                <c:pt idx="11">
                  <c:v>4.1417333289910197E-5</c:v>
                </c:pt>
                <c:pt idx="12">
                  <c:v>4.1335281480928934E-5</c:v>
                </c:pt>
                <c:pt idx="13">
                  <c:v>4.1305035684015684E-5</c:v>
                </c:pt>
                <c:pt idx="14">
                  <c:v>4.1204545887365164E-5</c:v>
                </c:pt>
                <c:pt idx="15">
                  <c:v>4.1079323439368934E-5</c:v>
                </c:pt>
                <c:pt idx="16">
                  <c:v>4.0925461318766491E-5</c:v>
                </c:pt>
                <c:pt idx="17">
                  <c:v>4.0714004423267217E-5</c:v>
                </c:pt>
                <c:pt idx="18">
                  <c:v>4.0443327411220083E-5</c:v>
                </c:pt>
                <c:pt idx="19">
                  <c:v>4.0249095140147097E-5</c:v>
                </c:pt>
                <c:pt idx="20">
                  <c:v>3.993596260393742E-5</c:v>
                </c:pt>
                <c:pt idx="21">
                  <c:v>3.9581398714490527E-5</c:v>
                </c:pt>
                <c:pt idx="22">
                  <c:v>3.9239179055585153E-5</c:v>
                </c:pt>
                <c:pt idx="23">
                  <c:v>3.8925551315799414E-5</c:v>
                </c:pt>
                <c:pt idx="24">
                  <c:v>3.8516685649442952E-5</c:v>
                </c:pt>
                <c:pt idx="25">
                  <c:v>3.812426861645276E-5</c:v>
                </c:pt>
                <c:pt idx="26">
                  <c:v>3.7693991658382044E-5</c:v>
                </c:pt>
                <c:pt idx="27">
                  <c:v>3.723080206200717E-5</c:v>
                </c:pt>
                <c:pt idx="28">
                  <c:v>3.6700594313431778E-5</c:v>
                </c:pt>
                <c:pt idx="29">
                  <c:v>3.6262819515461852E-5</c:v>
                </c:pt>
                <c:pt idx="30">
                  <c:v>3.5708305165972581E-5</c:v>
                </c:pt>
                <c:pt idx="31">
                  <c:v>3.5210101035545615E-5</c:v>
                </c:pt>
                <c:pt idx="32">
                  <c:v>3.4685105583406416E-5</c:v>
                </c:pt>
                <c:pt idx="33">
                  <c:v>3.4128225444932609E-5</c:v>
                </c:pt>
                <c:pt idx="34">
                  <c:v>3.3574341227809322E-5</c:v>
                </c:pt>
                <c:pt idx="35">
                  <c:v>3.2949723513315936E-5</c:v>
                </c:pt>
                <c:pt idx="36">
                  <c:v>3.2345695639637137E-5</c:v>
                </c:pt>
                <c:pt idx="37">
                  <c:v>3.1730058314595749E-5</c:v>
                </c:pt>
                <c:pt idx="38">
                  <c:v>3.1097302385053734E-5</c:v>
                </c:pt>
                <c:pt idx="39">
                  <c:v>3.0487293948823661E-5</c:v>
                </c:pt>
                <c:pt idx="40">
                  <c:v>2.9779470495550052E-5</c:v>
                </c:pt>
                <c:pt idx="41">
                  <c:v>2.9136904887515379E-5</c:v>
                </c:pt>
                <c:pt idx="42">
                  <c:v>2.8459252244706906E-5</c:v>
                </c:pt>
                <c:pt idx="43">
                  <c:v>2.7765960984656559E-5</c:v>
                </c:pt>
                <c:pt idx="44">
                  <c:v>2.7069578095059074E-5</c:v>
                </c:pt>
                <c:pt idx="45">
                  <c:v>2.6405066187227393E-5</c:v>
                </c:pt>
                <c:pt idx="46">
                  <c:v>2.5695045455442016E-5</c:v>
                </c:pt>
                <c:pt idx="47">
                  <c:v>2.4998672403317847E-5</c:v>
                </c:pt>
                <c:pt idx="48">
                  <c:v>2.4288565148458585E-5</c:v>
                </c:pt>
                <c:pt idx="49">
                  <c:v>2.3575669072508748E-5</c:v>
                </c:pt>
                <c:pt idx="50">
                  <c:v>2.2855791634751957E-5</c:v>
                </c:pt>
                <c:pt idx="51">
                  <c:v>2.2135554828685441E-5</c:v>
                </c:pt>
                <c:pt idx="52">
                  <c:v>2.1414537316007858E-5</c:v>
                </c:pt>
                <c:pt idx="53">
                  <c:v>2.0731507217588926E-5</c:v>
                </c:pt>
                <c:pt idx="54">
                  <c:v>2.0011451070631518E-5</c:v>
                </c:pt>
                <c:pt idx="55">
                  <c:v>1.9306659385433507E-5</c:v>
                </c:pt>
                <c:pt idx="56">
                  <c:v>1.860722932046345E-5</c:v>
                </c:pt>
                <c:pt idx="57">
                  <c:v>1.7882152293187022E-5</c:v>
                </c:pt>
                <c:pt idx="58">
                  <c:v>1.7184077006521924E-5</c:v>
                </c:pt>
                <c:pt idx="59">
                  <c:v>1.6465100104841407E-5</c:v>
                </c:pt>
                <c:pt idx="60">
                  <c:v>1.5769638350601431E-5</c:v>
                </c:pt>
                <c:pt idx="61">
                  <c:v>1.5069616560441824E-5</c:v>
                </c:pt>
                <c:pt idx="62">
                  <c:v>1.4376144921590479E-5</c:v>
                </c:pt>
                <c:pt idx="63">
                  <c:v>1.370563495622702E-5</c:v>
                </c:pt>
                <c:pt idx="64">
                  <c:v>1.2998610444296059E-5</c:v>
                </c:pt>
                <c:pt idx="65">
                  <c:v>1.2325253510302375E-5</c:v>
                </c:pt>
                <c:pt idx="66">
                  <c:v>1.166504195828711E-5</c:v>
                </c:pt>
                <c:pt idx="67">
                  <c:v>1.099721744232665E-5</c:v>
                </c:pt>
                <c:pt idx="68">
                  <c:v>1.0334754604353553E-5</c:v>
                </c:pt>
                <c:pt idx="69">
                  <c:v>9.711142033972285E-6</c:v>
                </c:pt>
                <c:pt idx="70">
                  <c:v>9.0821003153919563E-6</c:v>
                </c:pt>
                <c:pt idx="71">
                  <c:v>8.4686027109681387E-6</c:v>
                </c:pt>
                <c:pt idx="72">
                  <c:v>7.8738288600384697E-6</c:v>
                </c:pt>
                <c:pt idx="73">
                  <c:v>7.2906782257053265E-6</c:v>
                </c:pt>
                <c:pt idx="74">
                  <c:v>6.7302799920399791E-6</c:v>
                </c:pt>
                <c:pt idx="75">
                  <c:v>6.172887646508734E-6</c:v>
                </c:pt>
                <c:pt idx="76">
                  <c:v>5.6391696759729812E-6</c:v>
                </c:pt>
                <c:pt idx="77">
                  <c:v>5.1508398911764453E-6</c:v>
                </c:pt>
                <c:pt idx="78">
                  <c:v>4.680998366054487E-6</c:v>
                </c:pt>
                <c:pt idx="79">
                  <c:v>4.226783270692687E-6</c:v>
                </c:pt>
                <c:pt idx="80">
                  <c:v>3.8022360360622993E-6</c:v>
                </c:pt>
                <c:pt idx="81">
                  <c:v>3.3949250282157351E-6</c:v>
                </c:pt>
                <c:pt idx="82">
                  <c:v>3.0235107621397264E-6</c:v>
                </c:pt>
                <c:pt idx="83">
                  <c:v>2.6897628773955216E-6</c:v>
                </c:pt>
                <c:pt idx="84">
                  <c:v>2.3676276992012336E-6</c:v>
                </c:pt>
                <c:pt idx="85">
                  <c:v>2.0835913575814904E-6</c:v>
                </c:pt>
                <c:pt idx="86">
                  <c:v>1.8220851483737313E-6</c:v>
                </c:pt>
                <c:pt idx="87">
                  <c:v>1.581974252378314E-6</c:v>
                </c:pt>
                <c:pt idx="88">
                  <c:v>1.3750389355850749E-6</c:v>
                </c:pt>
                <c:pt idx="89">
                  <c:v>1.1791895374666685E-6</c:v>
                </c:pt>
                <c:pt idx="90">
                  <c:v>1.0119955294727346E-6</c:v>
                </c:pt>
                <c:pt idx="91">
                  <c:v>8.7064272444460468E-7</c:v>
                </c:pt>
                <c:pt idx="92">
                  <c:v>7.4738625312157955E-7</c:v>
                </c:pt>
                <c:pt idx="93">
                  <c:v>6.365089091918556E-7</c:v>
                </c:pt>
                <c:pt idx="94">
                  <c:v>5.3957897324297452E-7</c:v>
                </c:pt>
                <c:pt idx="95">
                  <c:v>4.605586696888735E-7</c:v>
                </c:pt>
                <c:pt idx="96">
                  <c:v>3.9375164695806751E-7</c:v>
                </c:pt>
                <c:pt idx="97">
                  <c:v>3.3215746332184937E-7</c:v>
                </c:pt>
                <c:pt idx="98">
                  <c:v>2.8169594389390197E-7</c:v>
                </c:pt>
                <c:pt idx="99">
                  <c:v>2.3907699814822612E-7</c:v>
                </c:pt>
                <c:pt idx="100">
                  <c:v>2.0401034712293166E-7</c:v>
                </c:pt>
                <c:pt idx="101">
                  <c:v>1.744448338087941E-7</c:v>
                </c:pt>
                <c:pt idx="102">
                  <c:v>1.4872666902002372E-7</c:v>
                </c:pt>
                <c:pt idx="103">
                  <c:v>1.2761990838891286E-7</c:v>
                </c:pt>
                <c:pt idx="104">
                  <c:v>1.0891785722869526E-7</c:v>
                </c:pt>
                <c:pt idx="105">
                  <c:v>9.2792615371548867E-8</c:v>
                </c:pt>
                <c:pt idx="106">
                  <c:v>8.0183523466850125E-8</c:v>
                </c:pt>
                <c:pt idx="107">
                  <c:v>6.9240931237852244E-8</c:v>
                </c:pt>
                <c:pt idx="108">
                  <c:v>6.0160037069389249E-8</c:v>
                </c:pt>
                <c:pt idx="109">
                  <c:v>5.183431466528886E-8</c:v>
                </c:pt>
                <c:pt idx="110">
                  <c:v>4.5283918209035169E-8</c:v>
                </c:pt>
                <c:pt idx="111">
                  <c:v>3.9599710744005733E-8</c:v>
                </c:pt>
                <c:pt idx="112">
                  <c:v>3.4689061649146883E-8</c:v>
                </c:pt>
                <c:pt idx="113">
                  <c:v>3.055998727905146E-8</c:v>
                </c:pt>
                <c:pt idx="114">
                  <c:v>2.6865755490808581E-8</c:v>
                </c:pt>
                <c:pt idx="115">
                  <c:v>1.8393270028918745E-8</c:v>
                </c:pt>
                <c:pt idx="116">
                  <c:v>3.9173648476792589E-9</c:v>
                </c:pt>
                <c:pt idx="117">
                  <c:v>2.1962755531875016E-9</c:v>
                </c:pt>
              </c:numCache>
            </c:numRef>
          </c:yVal>
          <c:smooth val="1"/>
        </c:ser>
        <c:dLbls>
          <c:showLegendKey val="0"/>
          <c:showVal val="0"/>
          <c:showCatName val="0"/>
          <c:showSerName val="0"/>
          <c:showPercent val="0"/>
          <c:showBubbleSize val="0"/>
        </c:dLbls>
        <c:axId val="323891672"/>
        <c:axId val="323892064"/>
      </c:scatterChart>
      <c:valAx>
        <c:axId val="323891672"/>
        <c:scaling>
          <c:logBase val="10"/>
          <c:orientation val="minMax"/>
          <c:min val="1000000000000"/>
        </c:scaling>
        <c:delete val="0"/>
        <c:axPos val="b"/>
        <c:majorGridlines/>
        <c:title>
          <c:tx>
            <c:rich>
              <a:bodyPr/>
              <a:lstStyle/>
              <a:p>
                <a:pPr>
                  <a:defRPr sz="1200"/>
                </a:pPr>
                <a:r>
                  <a:rPr lang="en-US" sz="1200"/>
                  <a:t>Carrier Density (cm-3)</a:t>
                </a:r>
              </a:p>
            </c:rich>
          </c:tx>
          <c:layout/>
          <c:overlay val="0"/>
        </c:title>
        <c:numFmt formatCode="0.00E+00" sourceLinked="0"/>
        <c:majorTickMark val="none"/>
        <c:minorTickMark val="none"/>
        <c:tickLblPos val="low"/>
        <c:txPr>
          <a:bodyPr/>
          <a:lstStyle/>
          <a:p>
            <a:pPr>
              <a:defRPr b="1"/>
            </a:pPr>
            <a:endParaRPr lang="en-US"/>
          </a:p>
        </c:txPr>
        <c:crossAx val="323892064"/>
        <c:crosses val="autoZero"/>
        <c:crossBetween val="midCat"/>
      </c:valAx>
      <c:valAx>
        <c:axId val="323892064"/>
        <c:scaling>
          <c:orientation val="minMax"/>
          <c:min val="0"/>
        </c:scaling>
        <c:delete val="0"/>
        <c:axPos val="l"/>
        <c:majorGridlines>
          <c:spPr>
            <a:ln>
              <a:solidFill>
                <a:prstClr val="black">
                  <a:alpha val="87000"/>
                </a:prstClr>
              </a:solidFill>
            </a:ln>
          </c:spPr>
        </c:majorGridlines>
        <c:title>
          <c:tx>
            <c:rich>
              <a:bodyPr rot="-5400000" vert="horz"/>
              <a:lstStyle/>
              <a:p>
                <a:pPr>
                  <a:defRPr sz="1200"/>
                </a:pPr>
                <a:r>
                  <a:rPr lang="en-US" sz="1200"/>
                  <a:t>Effective Carrier Lifetime (seconds)</a:t>
                </a:r>
              </a:p>
            </c:rich>
          </c:tx>
          <c:layout>
            <c:manualLayout>
              <c:xMode val="edge"/>
              <c:yMode val="edge"/>
              <c:x val="1.055610790190888E-2"/>
              <c:y val="0.13146828841025493"/>
            </c:manualLayout>
          </c:layout>
          <c:overlay val="0"/>
        </c:title>
        <c:numFmt formatCode="0.0E+00" sourceLinked="0"/>
        <c:majorTickMark val="out"/>
        <c:minorTickMark val="none"/>
        <c:tickLblPos val="nextTo"/>
        <c:txPr>
          <a:bodyPr/>
          <a:lstStyle/>
          <a:p>
            <a:pPr>
              <a:defRPr b="1"/>
            </a:pPr>
            <a:endParaRPr lang="en-US"/>
          </a:p>
        </c:txPr>
        <c:crossAx val="323891672"/>
        <c:crosses val="autoZero"/>
        <c:crossBetween val="midCat"/>
      </c:valAx>
    </c:plotArea>
    <c:plotVisOnly val="1"/>
    <c:dispBlanksAs val="gap"/>
    <c:showDLblsOverMax val="0"/>
  </c:chart>
  <c:txPr>
    <a:bodyPr/>
    <a:lstStyle/>
    <a:p>
      <a:pPr>
        <a:defRPr>
          <a:latin typeface="+mn-lt"/>
        </a:defRPr>
      </a:pPr>
      <a:endParaRPr lang="en-US"/>
    </a:p>
  </c:txPr>
  <c:printSettings>
    <c:headerFooter/>
    <c:pageMargins b="0.75000000000000533" l="0.70000000000000062" r="0.70000000000000062" t="0.75000000000000533"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6879</xdr:colOff>
      <xdr:row>8</xdr:row>
      <xdr:rowOff>206375</xdr:rowOff>
    </xdr:from>
    <xdr:to>
      <xdr:col>6</xdr:col>
      <xdr:colOff>578379</xdr:colOff>
      <xdr:row>28</xdr:row>
      <xdr:rowOff>7408</xdr:rowOff>
    </xdr:to>
    <xdr:graphicFrame macro="">
      <xdr:nvGraphicFramePr>
        <xdr:cNvPr id="5" name="Data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581025</xdr:colOff>
      <xdr:row>8</xdr:row>
      <xdr:rowOff>206375</xdr:rowOff>
    </xdr:from>
    <xdr:to>
      <xdr:col>13</xdr:col>
      <xdr:colOff>295275</xdr:colOff>
      <xdr:row>28</xdr:row>
      <xdr:rowOff>7408</xdr:rowOff>
    </xdr:to>
    <xdr:graphicFrame macro="">
      <xdr:nvGraphicFramePr>
        <xdr:cNvPr id="6" name="IVCurv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6879</xdr:colOff>
      <xdr:row>28</xdr:row>
      <xdr:rowOff>8995</xdr:rowOff>
    </xdr:from>
    <xdr:to>
      <xdr:col>6</xdr:col>
      <xdr:colOff>578379</xdr:colOff>
      <xdr:row>48</xdr:row>
      <xdr:rowOff>55561</xdr:rowOff>
    </xdr:to>
    <xdr:graphicFrame macro="">
      <xdr:nvGraphicFramePr>
        <xdr:cNvPr id="7" name="SunsVoc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581025</xdr:colOff>
      <xdr:row>28</xdr:row>
      <xdr:rowOff>8995</xdr:rowOff>
    </xdr:from>
    <xdr:to>
      <xdr:col>13</xdr:col>
      <xdr:colOff>295275</xdr:colOff>
      <xdr:row>48</xdr:row>
      <xdr:rowOff>55561</xdr:rowOff>
    </xdr:to>
    <xdr:graphicFrame macro="">
      <xdr:nvGraphicFramePr>
        <xdr:cNvPr id="8" name="EffLifeti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666750</xdr:colOff>
      <xdr:row>0</xdr:row>
      <xdr:rowOff>28575</xdr:rowOff>
    </xdr:from>
    <xdr:to>
      <xdr:col>9</xdr:col>
      <xdr:colOff>663725</xdr:colOff>
      <xdr:row>3</xdr:row>
      <xdr:rowOff>61631</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62650" y="28575"/>
          <a:ext cx="1559075" cy="537881"/>
        </a:xfrm>
        <a:prstGeom prst="rect">
          <a:avLst/>
        </a:prstGeom>
      </xdr:spPr>
    </xdr:pic>
    <xdr:clientData/>
  </xdr:twoCellAnchor>
  <xdr:twoCellAnchor>
    <xdr:from>
      <xdr:col>0</xdr:col>
      <xdr:colOff>38100</xdr:colOff>
      <xdr:row>0</xdr:row>
      <xdr:rowOff>57150</xdr:rowOff>
    </xdr:from>
    <xdr:to>
      <xdr:col>1</xdr:col>
      <xdr:colOff>569214</xdr:colOff>
      <xdr:row>3</xdr:row>
      <xdr:rowOff>18669</xdr:rowOff>
    </xdr:to>
    <xdr:sp macro="[0]!MeasureCellButton_Click" textlink="">
      <xdr:nvSpPr>
        <xdr:cNvPr id="12" name="Rectangle 11"/>
        <xdr:cNvSpPr/>
      </xdr:nvSpPr>
      <xdr:spPr>
        <a:xfrm>
          <a:off x="38100" y="57150"/>
          <a:ext cx="1426464" cy="466344"/>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Cell</a:t>
          </a:r>
          <a:endParaRPr lang="en-US" sz="1200" b="1">
            <a:solidFill>
              <a:sysClr val="windowText" lastClr="000000"/>
            </a:solidFill>
          </a:endParaRPr>
        </a:p>
      </xdr:txBody>
    </xdr:sp>
    <xdr:clientData/>
  </xdr:twoCellAnchor>
  <xdr:twoCellAnchor>
    <xdr:from>
      <xdr:col>1</xdr:col>
      <xdr:colOff>615950</xdr:colOff>
      <xdr:row>0</xdr:row>
      <xdr:rowOff>57150</xdr:rowOff>
    </xdr:from>
    <xdr:to>
      <xdr:col>4</xdr:col>
      <xdr:colOff>32639</xdr:colOff>
      <xdr:row>3</xdr:row>
      <xdr:rowOff>18669</xdr:rowOff>
    </xdr:to>
    <xdr:sp macro="[0]!FitIVCurveButton_Click" textlink="">
      <xdr:nvSpPr>
        <xdr:cNvPr id="13" name="Rectangle 12"/>
        <xdr:cNvSpPr/>
      </xdr:nvSpPr>
      <xdr:spPr>
        <a:xfrm>
          <a:off x="1511300" y="57150"/>
          <a:ext cx="1426464" cy="466344"/>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Re-Fit IV Curve</a:t>
          </a:r>
          <a:endParaRPr lang="en-US" sz="1200" b="1">
            <a:solidFill>
              <a:sysClr val="windowText" lastClr="000000"/>
            </a:solidFill>
          </a:endParaRPr>
        </a:p>
      </xdr:txBody>
    </xdr:sp>
    <xdr:clientData/>
  </xdr:twoCellAnchor>
  <xdr:twoCellAnchor>
    <xdr:from>
      <xdr:col>4</xdr:col>
      <xdr:colOff>79375</xdr:colOff>
      <xdr:row>0</xdr:row>
      <xdr:rowOff>57150</xdr:rowOff>
    </xdr:from>
    <xdr:to>
      <xdr:col>6</xdr:col>
      <xdr:colOff>889</xdr:colOff>
      <xdr:row>3</xdr:row>
      <xdr:rowOff>18669</xdr:rowOff>
    </xdr:to>
    <xdr:sp macro="[0]!LogToSummaryButton_Click" textlink="">
      <xdr:nvSpPr>
        <xdr:cNvPr id="14" name="Rectangle 13"/>
        <xdr:cNvSpPr/>
      </xdr:nvSpPr>
      <xdr:spPr>
        <a:xfrm>
          <a:off x="2984500" y="57150"/>
          <a:ext cx="1426464" cy="466344"/>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6</xdr:col>
      <xdr:colOff>47625</xdr:colOff>
      <xdr:row>0</xdr:row>
      <xdr:rowOff>57150</xdr:rowOff>
    </xdr:from>
    <xdr:to>
      <xdr:col>7</xdr:col>
      <xdr:colOff>588264</xdr:colOff>
      <xdr:row>3</xdr:row>
      <xdr:rowOff>18669</xdr:rowOff>
    </xdr:to>
    <xdr:sp macro="[0]!SaveGraphToText_Click" textlink="">
      <xdr:nvSpPr>
        <xdr:cNvPr id="15" name="Rectangle 14"/>
        <xdr:cNvSpPr/>
      </xdr:nvSpPr>
      <xdr:spPr>
        <a:xfrm>
          <a:off x="4457700" y="57150"/>
          <a:ext cx="1426464" cy="466344"/>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Save Graph Data to .txt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49"/>
  <sheetViews>
    <sheetView showGridLines="0" tabSelected="1" zoomScaleNormal="100" workbookViewId="0">
      <selection activeCell="A6" sqref="A6"/>
    </sheetView>
  </sheetViews>
  <sheetFormatPr defaultRowHeight="12.75" customHeight="1"/>
  <cols>
    <col min="1" max="1" width="13.42578125" style="68" customWidth="1"/>
    <col min="2" max="2" width="10.5703125" style="68" customWidth="1"/>
    <col min="3" max="3" width="9.28515625" style="68" bestFit="1" customWidth="1"/>
    <col min="4" max="4" width="10.28515625" style="68" customWidth="1"/>
    <col min="5" max="5" width="10.140625" style="68" customWidth="1"/>
    <col min="6" max="6" width="12.42578125" style="68" customWidth="1"/>
    <col min="7" max="7" width="13.28515625" style="68" customWidth="1"/>
    <col min="8" max="8" width="11.5703125" style="68" customWidth="1"/>
    <col min="9" max="9" width="11.85546875" style="68" customWidth="1"/>
    <col min="10" max="10" width="11.140625" style="68" customWidth="1"/>
    <col min="11" max="11" width="11.28515625" style="68" customWidth="1"/>
    <col min="12" max="12" width="10.7109375" style="68" customWidth="1"/>
    <col min="13" max="13" width="10.85546875" style="68" customWidth="1"/>
    <col min="14" max="14" width="9.28515625" style="68" bestFit="1" customWidth="1"/>
    <col min="15" max="19" width="9.140625" style="68"/>
    <col min="20" max="20" width="9.140625" style="68" customWidth="1"/>
    <col min="21" max="16384" width="9.140625" style="68"/>
  </cols>
  <sheetData>
    <row r="1" spans="1:28" s="15" customFormat="1" ht="16.5" customHeight="1">
      <c r="K1" s="16" t="s">
        <v>139</v>
      </c>
      <c r="N1" s="17"/>
    </row>
    <row r="2" spans="1:28" s="15" customFormat="1" ht="12" customHeight="1">
      <c r="K2" s="18" t="s">
        <v>138</v>
      </c>
      <c r="L2" s="19" t="s">
        <v>259</v>
      </c>
      <c r="N2" s="17"/>
    </row>
    <row r="3" spans="1:28" s="15" customFormat="1" ht="11.25" customHeight="1">
      <c r="B3" s="20"/>
      <c r="K3" s="21" t="s">
        <v>260</v>
      </c>
      <c r="N3" s="17"/>
    </row>
    <row r="4" spans="1:28" s="23" customFormat="1" ht="16.5" customHeight="1">
      <c r="A4" s="22" t="s">
        <v>140</v>
      </c>
      <c r="G4" s="24" t="s">
        <v>146</v>
      </c>
      <c r="L4" s="25"/>
      <c r="M4" s="26"/>
    </row>
    <row r="5" spans="1:28" s="23" customFormat="1" ht="39.75" customHeight="1">
      <c r="A5" s="27" t="s">
        <v>22</v>
      </c>
      <c r="B5" s="28" t="s">
        <v>30</v>
      </c>
      <c r="C5" s="28" t="s">
        <v>59</v>
      </c>
      <c r="D5" s="28" t="s">
        <v>141</v>
      </c>
      <c r="E5" s="28" t="s">
        <v>142</v>
      </c>
      <c r="F5" s="29" t="s">
        <v>143</v>
      </c>
      <c r="G5" s="27" t="s">
        <v>65</v>
      </c>
      <c r="H5" s="30" t="s">
        <v>3</v>
      </c>
      <c r="I5" s="30" t="s">
        <v>23</v>
      </c>
      <c r="J5" s="31" t="s">
        <v>145</v>
      </c>
      <c r="K5" s="32" t="s">
        <v>148</v>
      </c>
      <c r="L5" s="33"/>
      <c r="M5" s="34"/>
    </row>
    <row r="6" spans="1:28" s="23" customFormat="1" ht="17.25" customHeight="1">
      <c r="A6" s="35" t="s">
        <v>270</v>
      </c>
      <c r="B6" s="36">
        <v>3.9102999999999999E-2</v>
      </c>
      <c r="C6" s="37">
        <v>1</v>
      </c>
      <c r="D6" s="38">
        <v>1.7999999999999999E-2</v>
      </c>
      <c r="E6" s="39">
        <v>2</v>
      </c>
      <c r="F6" s="40" t="s">
        <v>149</v>
      </c>
      <c r="G6" s="41">
        <f>Temp</f>
        <v>23.448412999999999</v>
      </c>
      <c r="H6" s="42">
        <f>MeasDate</f>
        <v>42206</v>
      </c>
      <c r="I6" s="43">
        <f>MeasTime</f>
        <v>0.48884259259259261</v>
      </c>
      <c r="J6" s="44" t="s">
        <v>221</v>
      </c>
      <c r="K6" s="134" t="str">
        <f>ErrorMsg</f>
        <v/>
      </c>
      <c r="L6" s="135"/>
      <c r="M6" s="136"/>
    </row>
    <row r="7" spans="1:28" s="23" customFormat="1" ht="16.5" customHeight="1">
      <c r="A7" s="45" t="s">
        <v>144</v>
      </c>
      <c r="B7" s="46"/>
      <c r="C7" s="47"/>
      <c r="D7" s="47"/>
      <c r="K7" s="137"/>
      <c r="L7" s="138"/>
      <c r="M7" s="139"/>
      <c r="O7" s="47"/>
    </row>
    <row r="8" spans="1:28" s="15" customFormat="1" ht="31.5" customHeight="1">
      <c r="A8" s="27" t="s">
        <v>29</v>
      </c>
      <c r="B8" s="30" t="s">
        <v>28</v>
      </c>
      <c r="C8" s="28" t="s">
        <v>27</v>
      </c>
      <c r="D8" s="30" t="s">
        <v>89</v>
      </c>
      <c r="E8" s="28" t="s">
        <v>87</v>
      </c>
      <c r="F8" s="28" t="s">
        <v>256</v>
      </c>
      <c r="G8" s="28" t="s">
        <v>247</v>
      </c>
      <c r="H8" s="28" t="s">
        <v>147</v>
      </c>
      <c r="I8" s="28" t="s">
        <v>91</v>
      </c>
      <c r="J8" s="28" t="s">
        <v>164</v>
      </c>
      <c r="K8" s="28" t="s">
        <v>165</v>
      </c>
      <c r="L8" s="48" t="s">
        <v>257</v>
      </c>
      <c r="M8" s="17"/>
      <c r="N8" s="17"/>
    </row>
    <row r="9" spans="1:28" s="57" customFormat="1" ht="16.5" customHeight="1">
      <c r="A9" s="49">
        <f>Voc</f>
        <v>0.63345187365687061</v>
      </c>
      <c r="B9" s="50">
        <f>Vmp</f>
        <v>0.53398950859999994</v>
      </c>
      <c r="C9" s="51">
        <f>Jmp</f>
        <v>3.4805311714617579E-2</v>
      </c>
      <c r="D9" s="51">
        <f>PFF</f>
        <v>0.75033386682760994</v>
      </c>
      <c r="E9" s="52">
        <f>Pseudo_Efficiency</f>
        <v>18.585671299158463</v>
      </c>
      <c r="F9" s="53">
        <f>Apparent_Rs</f>
        <v>0.92141873300476862</v>
      </c>
      <c r="G9" s="53">
        <f>eta_1sun</f>
        <v>1.3413448673507613</v>
      </c>
      <c r="H9" s="53">
        <f>eta_0_1sun</f>
        <v>2.9355649513999564</v>
      </c>
      <c r="I9" s="51">
        <f>Voc_0_1suns</f>
        <v>0.52654587842877532</v>
      </c>
      <c r="J9" s="54">
        <f>Jo_1</f>
        <v>3.2967101448967979E-13</v>
      </c>
      <c r="K9" s="54">
        <f>Jo_2</f>
        <v>9.4844862708930474E-8</v>
      </c>
      <c r="L9" s="55">
        <f>Rshunt</f>
        <v>558.86737473887933</v>
      </c>
      <c r="M9" s="56"/>
      <c r="N9" s="56"/>
      <c r="S9" s="25"/>
      <c r="T9" s="25"/>
      <c r="U9" s="25"/>
      <c r="V9" s="25"/>
      <c r="W9" s="25"/>
      <c r="X9" s="25"/>
    </row>
    <row r="10" spans="1:28" s="15" customFormat="1" ht="15" customHeight="1">
      <c r="A10" s="58"/>
      <c r="B10" s="58"/>
      <c r="C10" s="58"/>
      <c r="D10" s="58"/>
      <c r="E10" s="58"/>
      <c r="F10" s="58"/>
      <c r="G10" s="58"/>
      <c r="H10" s="58"/>
      <c r="I10" s="58"/>
      <c r="J10" s="58"/>
      <c r="K10" s="58"/>
      <c r="L10" s="58"/>
      <c r="M10" s="58"/>
      <c r="N10" s="58"/>
      <c r="O10" s="59"/>
      <c r="S10" s="23"/>
      <c r="T10" s="23"/>
      <c r="U10" s="23"/>
      <c r="V10" s="23"/>
      <c r="W10" s="23"/>
      <c r="X10" s="23"/>
    </row>
    <row r="11" spans="1:28" s="15" customFormat="1" ht="15.75">
      <c r="A11" s="17"/>
      <c r="B11" s="17"/>
      <c r="C11" s="17"/>
      <c r="D11" s="17"/>
      <c r="E11" s="17"/>
      <c r="F11" s="17"/>
      <c r="G11" s="17"/>
      <c r="H11" s="17"/>
      <c r="I11" s="17"/>
      <c r="J11" s="17"/>
      <c r="K11" s="17"/>
      <c r="L11" s="17"/>
      <c r="M11" s="17"/>
      <c r="N11" s="17"/>
      <c r="S11" s="23"/>
      <c r="T11" s="60" t="s">
        <v>252</v>
      </c>
      <c r="U11" s="61"/>
      <c r="V11" s="23"/>
      <c r="W11" s="23"/>
      <c r="X11" s="23"/>
    </row>
    <row r="12" spans="1:28" s="15" customFormat="1">
      <c r="A12" s="17"/>
      <c r="B12" s="17"/>
      <c r="C12" s="17"/>
      <c r="D12" s="17"/>
      <c r="E12" s="17"/>
      <c r="F12" s="17"/>
      <c r="G12" s="17"/>
      <c r="H12" s="17"/>
      <c r="I12" s="17"/>
      <c r="J12" s="17"/>
      <c r="K12" s="17"/>
      <c r="L12" s="17"/>
      <c r="M12" s="17"/>
      <c r="N12" s="17"/>
      <c r="Q12" s="62"/>
      <c r="R12" s="62"/>
      <c r="S12" s="62"/>
      <c r="T12" s="63">
        <v>0.32967101448967978</v>
      </c>
      <c r="U12" s="133" t="s">
        <v>249</v>
      </c>
      <c r="V12" s="133"/>
      <c r="W12" s="62"/>
      <c r="X12" s="62"/>
      <c r="Y12" s="62"/>
      <c r="Z12" s="62"/>
      <c r="AA12" s="62"/>
      <c r="AB12" s="62"/>
    </row>
    <row r="13" spans="1:28" s="15" customFormat="1">
      <c r="A13" s="17"/>
      <c r="B13" s="17"/>
      <c r="C13" s="17"/>
      <c r="D13" s="17"/>
      <c r="E13" s="17"/>
      <c r="F13" s="17"/>
      <c r="G13" s="17"/>
      <c r="H13" s="17"/>
      <c r="I13" s="17"/>
      <c r="J13" s="17"/>
      <c r="K13" s="17"/>
      <c r="L13" s="17"/>
      <c r="M13" s="17"/>
      <c r="N13" s="17"/>
      <c r="S13" s="23"/>
      <c r="T13" s="64">
        <v>94.844862708930464</v>
      </c>
      <c r="U13" s="133" t="s">
        <v>215</v>
      </c>
      <c r="V13" s="133"/>
      <c r="W13" s="65"/>
      <c r="X13" s="23"/>
    </row>
    <row r="14" spans="1:28" s="15" customFormat="1">
      <c r="A14" s="17"/>
      <c r="B14" s="17"/>
      <c r="C14" s="17"/>
      <c r="D14" s="17"/>
      <c r="E14" s="17"/>
      <c r="F14" s="17"/>
      <c r="G14" s="17"/>
      <c r="H14" s="17"/>
      <c r="I14" s="17"/>
      <c r="J14" s="17"/>
      <c r="K14" s="17"/>
      <c r="L14" s="17"/>
      <c r="M14" s="17"/>
      <c r="N14" s="17"/>
      <c r="S14" s="23"/>
      <c r="T14" s="66">
        <v>558.86737473887933</v>
      </c>
      <c r="U14" s="133" t="s">
        <v>216</v>
      </c>
      <c r="V14" s="133"/>
      <c r="W14" s="65"/>
      <c r="X14" s="23"/>
    </row>
    <row r="15" spans="1:28" s="15" customFormat="1">
      <c r="A15" s="17"/>
      <c r="B15" s="17"/>
      <c r="C15" s="17"/>
      <c r="D15" s="17"/>
      <c r="E15" s="17"/>
      <c r="F15" s="17"/>
      <c r="G15" s="17"/>
      <c r="H15" s="17"/>
      <c r="I15" s="17"/>
      <c r="J15" s="17"/>
      <c r="K15" s="17"/>
      <c r="L15" s="17"/>
      <c r="M15" s="17"/>
      <c r="N15" s="17"/>
      <c r="S15" s="23"/>
      <c r="T15" s="67">
        <f>100*(SUM(Calc!N22:N132))</f>
        <v>205.35677880710406</v>
      </c>
      <c r="U15" s="133" t="s">
        <v>250</v>
      </c>
      <c r="V15" s="133"/>
      <c r="W15" s="65"/>
      <c r="X15" s="23"/>
    </row>
    <row r="16" spans="1:28" s="15" customFormat="1">
      <c r="A16" s="17"/>
      <c r="B16" s="17"/>
      <c r="C16" s="17"/>
      <c r="D16" s="17"/>
      <c r="E16" s="17"/>
      <c r="F16" s="17"/>
      <c r="G16" s="17"/>
      <c r="H16" s="17"/>
      <c r="I16" s="17"/>
      <c r="J16" s="17"/>
      <c r="K16" s="17"/>
      <c r="L16" s="17"/>
      <c r="M16" s="17"/>
      <c r="N16" s="17"/>
      <c r="S16" s="23"/>
      <c r="T16" s="67">
        <f>100*SUM(Calc!N114:N132)</f>
        <v>161.91735395584033</v>
      </c>
      <c r="U16" s="133" t="s">
        <v>251</v>
      </c>
      <c r="V16" s="133"/>
      <c r="W16" s="65"/>
      <c r="X16" s="23"/>
    </row>
    <row r="17" spans="1:24" s="15" customFormat="1" ht="11.25">
      <c r="A17" s="17"/>
      <c r="B17" s="17"/>
      <c r="C17" s="17"/>
      <c r="D17" s="17"/>
      <c r="E17" s="17"/>
      <c r="F17" s="17"/>
      <c r="G17" s="17"/>
      <c r="H17" s="17"/>
      <c r="I17" s="17"/>
      <c r="J17" s="17"/>
      <c r="K17" s="17"/>
      <c r="L17" s="17"/>
      <c r="M17" s="17"/>
      <c r="N17" s="17"/>
      <c r="S17" s="23"/>
      <c r="T17" s="23"/>
      <c r="U17" s="23"/>
      <c r="V17" s="23"/>
      <c r="W17" s="23"/>
      <c r="X17" s="23"/>
    </row>
    <row r="18" spans="1:24" s="15" customFormat="1" ht="11.25">
      <c r="A18" s="17"/>
      <c r="B18" s="17"/>
      <c r="C18" s="17"/>
      <c r="D18" s="17"/>
      <c r="E18" s="17"/>
      <c r="F18" s="17"/>
      <c r="G18" s="17"/>
      <c r="H18" s="17"/>
      <c r="I18" s="17"/>
      <c r="J18" s="17"/>
      <c r="K18" s="17"/>
      <c r="L18" s="17"/>
      <c r="M18" s="17"/>
      <c r="N18" s="17"/>
      <c r="S18" s="23"/>
      <c r="T18" s="23"/>
      <c r="U18" s="23"/>
      <c r="V18" s="23"/>
      <c r="W18" s="23"/>
      <c r="X18" s="23"/>
    </row>
    <row r="19" spans="1:24" s="15" customFormat="1" ht="11.25">
      <c r="A19" s="17"/>
      <c r="B19" s="17"/>
      <c r="C19" s="17"/>
      <c r="D19" s="17"/>
      <c r="E19" s="17"/>
      <c r="F19" s="17"/>
      <c r="G19" s="17"/>
      <c r="H19" s="17"/>
      <c r="I19" s="17"/>
      <c r="J19" s="17"/>
      <c r="K19" s="17"/>
      <c r="L19" s="17"/>
      <c r="M19" s="17"/>
      <c r="N19" s="17"/>
      <c r="S19" s="23"/>
      <c r="T19" s="23"/>
      <c r="U19" s="23"/>
      <c r="V19" s="23"/>
      <c r="W19" s="23"/>
      <c r="X19" s="23"/>
    </row>
    <row r="20" spans="1:24" s="15" customFormat="1" ht="11.25">
      <c r="A20" s="17"/>
      <c r="B20" s="17"/>
      <c r="C20" s="17"/>
      <c r="D20" s="17"/>
      <c r="E20" s="17"/>
      <c r="F20" s="17"/>
      <c r="G20" s="17"/>
      <c r="H20" s="17"/>
      <c r="I20" s="17"/>
      <c r="J20" s="17"/>
      <c r="K20" s="17"/>
      <c r="L20" s="17"/>
      <c r="M20" s="17"/>
      <c r="N20" s="17"/>
    </row>
    <row r="21" spans="1:24" s="15" customFormat="1" ht="11.25">
      <c r="A21" s="17"/>
      <c r="B21" s="17"/>
      <c r="C21" s="17"/>
      <c r="D21" s="17"/>
      <c r="E21" s="17"/>
      <c r="F21" s="17"/>
      <c r="G21" s="17"/>
      <c r="H21" s="17"/>
      <c r="I21" s="17"/>
      <c r="J21" s="17"/>
      <c r="K21" s="17"/>
      <c r="L21" s="17"/>
      <c r="M21" s="17"/>
      <c r="N21" s="17"/>
    </row>
    <row r="22" spans="1:24" s="15" customFormat="1" ht="11.25">
      <c r="A22" s="17"/>
      <c r="B22" s="17"/>
      <c r="C22" s="17"/>
      <c r="D22" s="17"/>
      <c r="E22" s="17"/>
      <c r="F22" s="17"/>
      <c r="G22" s="17"/>
      <c r="H22" s="17"/>
      <c r="I22" s="17"/>
      <c r="J22" s="17"/>
      <c r="K22" s="17"/>
      <c r="L22" s="17"/>
      <c r="M22" s="17"/>
      <c r="N22" s="17"/>
    </row>
    <row r="23" spans="1:24" s="15" customFormat="1" ht="11.25">
      <c r="A23" s="17"/>
      <c r="B23" s="17"/>
      <c r="C23" s="17"/>
      <c r="D23" s="17"/>
      <c r="E23" s="17"/>
      <c r="F23" s="17"/>
      <c r="G23" s="17"/>
      <c r="H23" s="17"/>
      <c r="I23" s="17"/>
      <c r="J23" s="17"/>
      <c r="K23" s="17"/>
      <c r="L23" s="17"/>
      <c r="M23" s="17"/>
      <c r="N23" s="17"/>
    </row>
    <row r="24" spans="1:24" s="15" customFormat="1" ht="11.25">
      <c r="A24" s="17"/>
      <c r="B24" s="17"/>
      <c r="C24" s="17"/>
      <c r="D24" s="17"/>
      <c r="E24" s="17"/>
      <c r="F24" s="17"/>
      <c r="G24" s="17"/>
      <c r="H24" s="17"/>
      <c r="I24" s="17"/>
      <c r="J24" s="17"/>
      <c r="K24" s="17"/>
      <c r="L24" s="17"/>
      <c r="M24" s="17"/>
      <c r="N24" s="17"/>
    </row>
    <row r="25" spans="1:24" s="15" customFormat="1" ht="11.25">
      <c r="A25" s="17"/>
      <c r="B25" s="17"/>
      <c r="C25" s="17"/>
      <c r="D25" s="17"/>
      <c r="E25" s="17"/>
      <c r="F25" s="17"/>
      <c r="G25" s="17"/>
      <c r="H25" s="17"/>
      <c r="I25" s="17"/>
      <c r="J25" s="17"/>
      <c r="K25" s="17"/>
      <c r="L25" s="17"/>
      <c r="M25" s="17"/>
      <c r="N25" s="17"/>
    </row>
    <row r="26" spans="1:24" s="15" customFormat="1" ht="11.25">
      <c r="A26" s="17"/>
      <c r="B26" s="17"/>
      <c r="C26" s="17"/>
      <c r="D26" s="17"/>
      <c r="E26" s="17"/>
      <c r="F26" s="17"/>
      <c r="G26" s="17"/>
      <c r="H26" s="17"/>
      <c r="I26" s="17"/>
      <c r="J26" s="17"/>
      <c r="K26" s="17"/>
      <c r="L26" s="17"/>
      <c r="M26" s="17"/>
      <c r="N26" s="17"/>
    </row>
    <row r="27" spans="1:24" s="15" customFormat="1" ht="11.25">
      <c r="A27" s="17"/>
      <c r="B27" s="17"/>
      <c r="C27" s="17"/>
      <c r="D27" s="17"/>
      <c r="E27" s="17"/>
      <c r="F27" s="17"/>
      <c r="G27" s="17"/>
      <c r="H27" s="17"/>
      <c r="I27" s="17"/>
      <c r="J27" s="17"/>
      <c r="K27" s="17"/>
      <c r="L27" s="17"/>
      <c r="M27" s="17"/>
      <c r="N27" s="17"/>
    </row>
    <row r="28" spans="1:24" s="15" customFormat="1" ht="11.25">
      <c r="A28" s="17"/>
      <c r="B28" s="17"/>
      <c r="C28" s="17"/>
      <c r="D28" s="17"/>
      <c r="E28" s="17"/>
      <c r="F28" s="17"/>
      <c r="G28" s="17"/>
      <c r="H28" s="17"/>
      <c r="I28" s="17"/>
      <c r="J28" s="17"/>
      <c r="K28" s="17"/>
      <c r="L28" s="17"/>
      <c r="M28" s="17"/>
      <c r="N28" s="17"/>
    </row>
    <row r="29" spans="1:24" s="15" customFormat="1" ht="11.25">
      <c r="A29" s="17"/>
      <c r="B29" s="17"/>
      <c r="C29" s="17"/>
      <c r="D29" s="17"/>
      <c r="E29" s="17"/>
      <c r="F29" s="17"/>
      <c r="G29" s="17"/>
      <c r="H29" s="17"/>
      <c r="I29" s="17"/>
      <c r="J29" s="17"/>
      <c r="K29" s="17"/>
      <c r="L29" s="17"/>
      <c r="M29" s="17"/>
      <c r="N29" s="17"/>
    </row>
    <row r="30" spans="1:24" s="15" customFormat="1" ht="11.25">
      <c r="A30" s="17"/>
      <c r="B30" s="17"/>
      <c r="C30" s="17"/>
      <c r="D30" s="17"/>
      <c r="E30" s="17"/>
      <c r="F30" s="17"/>
      <c r="G30" s="17"/>
      <c r="H30" s="17"/>
      <c r="I30" s="17"/>
      <c r="J30" s="17"/>
      <c r="K30" s="17"/>
      <c r="L30" s="17"/>
      <c r="M30" s="17"/>
      <c r="N30" s="17"/>
      <c r="R30" s="15" t="s">
        <v>167</v>
      </c>
    </row>
    <row r="31" spans="1:24" s="15" customFormat="1" ht="11.25">
      <c r="A31" s="17"/>
      <c r="B31" s="17"/>
      <c r="C31" s="17"/>
      <c r="D31" s="17"/>
      <c r="E31" s="17"/>
      <c r="F31" s="17"/>
      <c r="G31" s="17"/>
      <c r="H31" s="17"/>
      <c r="I31" s="17"/>
      <c r="J31" s="17"/>
      <c r="K31" s="17"/>
      <c r="L31" s="17"/>
      <c r="M31" s="17"/>
      <c r="N31" s="17"/>
    </row>
    <row r="32" spans="1:24" s="15" customFormat="1" ht="11.25">
      <c r="A32" s="17"/>
      <c r="B32" s="17"/>
      <c r="C32" s="17"/>
      <c r="D32" s="17"/>
      <c r="E32" s="17"/>
      <c r="F32" s="17"/>
      <c r="G32" s="17"/>
      <c r="H32" s="17"/>
      <c r="I32" s="17"/>
      <c r="J32" s="17"/>
      <c r="K32" s="17"/>
      <c r="L32" s="17"/>
      <c r="M32" s="17"/>
      <c r="N32" s="17"/>
    </row>
    <row r="33" spans="1:14" s="15" customFormat="1" ht="11.25">
      <c r="A33" s="17"/>
      <c r="B33" s="17"/>
      <c r="C33" s="17"/>
      <c r="D33" s="17"/>
      <c r="E33" s="17"/>
      <c r="F33" s="17"/>
      <c r="G33" s="17"/>
      <c r="H33" s="17"/>
      <c r="I33" s="17"/>
      <c r="J33" s="17"/>
      <c r="K33" s="17"/>
      <c r="L33" s="17"/>
      <c r="M33" s="17"/>
      <c r="N33" s="17"/>
    </row>
    <row r="34" spans="1:14" s="15" customFormat="1" ht="11.25">
      <c r="A34" s="17"/>
      <c r="B34" s="17"/>
      <c r="C34" s="17"/>
      <c r="D34" s="17"/>
      <c r="E34" s="17"/>
      <c r="F34" s="17"/>
      <c r="G34" s="17"/>
      <c r="H34" s="17"/>
      <c r="I34" s="17"/>
      <c r="J34" s="17"/>
      <c r="K34" s="17"/>
      <c r="L34" s="17"/>
      <c r="M34" s="17"/>
      <c r="N34" s="17"/>
    </row>
    <row r="35" spans="1:14" s="15" customFormat="1" ht="11.25">
      <c r="A35" s="17"/>
      <c r="B35" s="17"/>
      <c r="C35" s="17"/>
      <c r="D35" s="17"/>
      <c r="E35" s="17"/>
      <c r="F35" s="17"/>
      <c r="G35" s="17"/>
      <c r="H35" s="17"/>
      <c r="I35" s="17"/>
      <c r="J35" s="17"/>
      <c r="K35" s="17"/>
      <c r="L35" s="17"/>
      <c r="M35" s="17"/>
      <c r="N35" s="17"/>
    </row>
    <row r="36" spans="1:14" s="15" customFormat="1" ht="11.25">
      <c r="A36" s="17"/>
      <c r="B36" s="17"/>
      <c r="C36" s="17"/>
      <c r="D36" s="17"/>
      <c r="E36" s="17"/>
      <c r="F36" s="17"/>
      <c r="G36" s="17"/>
      <c r="H36" s="17"/>
      <c r="I36" s="17"/>
      <c r="J36" s="17"/>
      <c r="K36" s="17"/>
      <c r="L36" s="17"/>
      <c r="M36" s="17"/>
      <c r="N36" s="17"/>
    </row>
    <row r="37" spans="1:14" s="15" customFormat="1" ht="11.25">
      <c r="A37" s="17"/>
      <c r="B37" s="17"/>
      <c r="C37" s="17"/>
      <c r="D37" s="17"/>
      <c r="E37" s="17"/>
      <c r="F37" s="17"/>
      <c r="G37" s="17"/>
      <c r="H37" s="17"/>
      <c r="I37" s="17"/>
      <c r="J37" s="17"/>
      <c r="K37" s="17"/>
      <c r="L37" s="17"/>
      <c r="M37" s="17"/>
      <c r="N37" s="17"/>
    </row>
    <row r="38" spans="1:14" s="15" customFormat="1" ht="11.25">
      <c r="A38" s="17"/>
      <c r="B38" s="17"/>
      <c r="C38" s="17"/>
      <c r="D38" s="17"/>
      <c r="E38" s="17"/>
      <c r="F38" s="17"/>
      <c r="G38" s="17"/>
      <c r="H38" s="17"/>
      <c r="I38" s="17"/>
      <c r="J38" s="17"/>
      <c r="K38" s="17"/>
      <c r="L38" s="17"/>
      <c r="M38" s="17"/>
      <c r="N38" s="17"/>
    </row>
    <row r="39" spans="1:14" s="15" customFormat="1" ht="11.25">
      <c r="A39" s="17"/>
      <c r="B39" s="17"/>
      <c r="C39" s="17"/>
      <c r="D39" s="17"/>
      <c r="E39" s="17"/>
      <c r="F39" s="17"/>
      <c r="G39" s="17"/>
      <c r="H39" s="17"/>
      <c r="I39" s="17"/>
      <c r="J39" s="17"/>
      <c r="K39" s="17"/>
      <c r="L39" s="17"/>
      <c r="M39" s="17"/>
      <c r="N39" s="17"/>
    </row>
    <row r="40" spans="1:14" s="15" customFormat="1" ht="11.25">
      <c r="A40" s="17"/>
      <c r="B40" s="17"/>
      <c r="C40" s="17"/>
      <c r="D40" s="17"/>
      <c r="E40" s="17"/>
      <c r="F40" s="17"/>
      <c r="G40" s="17"/>
      <c r="H40" s="17"/>
      <c r="I40" s="17"/>
      <c r="J40" s="17"/>
      <c r="K40" s="17"/>
      <c r="L40" s="17"/>
      <c r="M40" s="17"/>
      <c r="N40" s="17"/>
    </row>
    <row r="41" spans="1:14" s="15" customFormat="1" ht="11.25">
      <c r="A41" s="17"/>
      <c r="B41" s="17"/>
      <c r="C41" s="17"/>
      <c r="D41" s="17"/>
      <c r="E41" s="17"/>
      <c r="F41" s="17"/>
      <c r="G41" s="17"/>
      <c r="H41" s="17"/>
      <c r="I41" s="17"/>
      <c r="J41" s="17"/>
      <c r="K41" s="17"/>
      <c r="L41" s="17"/>
      <c r="M41" s="17"/>
      <c r="N41" s="17"/>
    </row>
    <row r="42" spans="1:14" s="15" customFormat="1" ht="11.25">
      <c r="A42" s="17"/>
      <c r="B42" s="17"/>
      <c r="C42" s="17"/>
      <c r="D42" s="17"/>
      <c r="E42" s="17"/>
      <c r="F42" s="17"/>
      <c r="G42" s="17"/>
      <c r="H42" s="17"/>
      <c r="I42" s="17"/>
      <c r="J42" s="17"/>
      <c r="K42" s="17"/>
      <c r="L42" s="17"/>
      <c r="M42" s="17"/>
      <c r="N42" s="17"/>
    </row>
    <row r="43" spans="1:14" s="15" customFormat="1" ht="11.25">
      <c r="A43" s="17"/>
      <c r="B43" s="17"/>
      <c r="C43" s="17"/>
      <c r="D43" s="17"/>
      <c r="E43" s="17"/>
      <c r="F43" s="17"/>
      <c r="G43" s="17"/>
      <c r="H43" s="17"/>
      <c r="I43" s="17"/>
      <c r="J43" s="17"/>
      <c r="K43" s="17"/>
      <c r="L43" s="17"/>
      <c r="M43" s="17"/>
      <c r="N43" s="17"/>
    </row>
    <row r="44" spans="1:14" s="15" customFormat="1" ht="11.25">
      <c r="A44" s="17"/>
      <c r="B44" s="17"/>
      <c r="C44" s="17"/>
      <c r="D44" s="17"/>
      <c r="E44" s="17"/>
      <c r="F44" s="17"/>
      <c r="G44" s="17"/>
      <c r="H44" s="17"/>
      <c r="I44" s="17"/>
      <c r="J44" s="17"/>
      <c r="K44" s="17"/>
      <c r="L44" s="17"/>
      <c r="M44" s="17"/>
      <c r="N44" s="17"/>
    </row>
    <row r="45" spans="1:14" s="15" customFormat="1" ht="11.25">
      <c r="A45" s="17"/>
      <c r="B45" s="17"/>
      <c r="C45" s="17"/>
      <c r="D45" s="17"/>
      <c r="E45" s="17"/>
      <c r="F45" s="17"/>
      <c r="G45" s="17"/>
      <c r="H45" s="17"/>
      <c r="I45" s="17"/>
      <c r="J45" s="17"/>
      <c r="K45" s="17"/>
      <c r="L45" s="17"/>
      <c r="M45" s="17"/>
      <c r="N45" s="17"/>
    </row>
    <row r="46" spans="1:14" s="15" customFormat="1" ht="11.25">
      <c r="A46" s="17"/>
      <c r="B46" s="17"/>
      <c r="C46" s="17"/>
      <c r="D46" s="17"/>
      <c r="E46" s="17"/>
      <c r="F46" s="17"/>
      <c r="G46" s="17"/>
      <c r="H46" s="17"/>
      <c r="I46" s="17"/>
      <c r="J46" s="17"/>
      <c r="K46" s="17"/>
      <c r="L46" s="17"/>
      <c r="M46" s="17"/>
      <c r="N46" s="17"/>
    </row>
    <row r="47" spans="1:14" s="15" customFormat="1" ht="11.25">
      <c r="A47" s="17"/>
      <c r="B47" s="17"/>
      <c r="C47" s="17"/>
      <c r="D47" s="17"/>
      <c r="E47" s="17"/>
      <c r="F47" s="17"/>
      <c r="G47" s="17"/>
      <c r="H47" s="17"/>
      <c r="I47" s="17"/>
      <c r="J47" s="17"/>
      <c r="K47" s="17"/>
      <c r="L47" s="17"/>
      <c r="M47" s="17"/>
      <c r="N47" s="17"/>
    </row>
    <row r="48" spans="1:14" s="15" customFormat="1" ht="11.25">
      <c r="A48" s="17"/>
      <c r="B48" s="17"/>
      <c r="C48" s="17"/>
      <c r="D48" s="17"/>
      <c r="E48" s="17"/>
      <c r="F48" s="17"/>
      <c r="G48" s="17"/>
      <c r="H48" s="17"/>
      <c r="I48" s="17"/>
      <c r="J48" s="17"/>
      <c r="K48" s="17"/>
      <c r="L48" s="17"/>
      <c r="M48" s="17"/>
      <c r="N48" s="17"/>
    </row>
    <row r="49" spans="1:14" s="15" customFormat="1" ht="11.25">
      <c r="A49" s="17"/>
      <c r="B49" s="17"/>
      <c r="C49" s="17"/>
      <c r="D49" s="17"/>
      <c r="E49" s="17"/>
      <c r="F49" s="17"/>
      <c r="G49" s="17"/>
      <c r="H49" s="17"/>
      <c r="I49" s="17"/>
      <c r="J49" s="17"/>
      <c r="K49" s="17"/>
      <c r="L49" s="17"/>
      <c r="M49" s="17"/>
      <c r="N49" s="17"/>
    </row>
  </sheetData>
  <sheetProtection sheet="1" objects="1" scenarios="1" selectLockedCells="1"/>
  <dataConsolidate/>
  <mergeCells count="6">
    <mergeCell ref="U16:V16"/>
    <mergeCell ref="K6:M7"/>
    <mergeCell ref="U12:V12"/>
    <mergeCell ref="U13:V13"/>
    <mergeCell ref="U14:V14"/>
    <mergeCell ref="U15:V15"/>
  </mergeCells>
  <phoneticPr fontId="0" type="noConversion"/>
  <dataValidations count="1">
    <dataValidation type="list" allowBlank="1" showInputMessage="1" showErrorMessage="1" sqref="F6">
      <formula1>BaseTypeList</formula1>
    </dataValidation>
  </dataValidations>
  <pageMargins left="0.75" right="0.75" top="0.59" bottom="1" header="0.5" footer="0.5"/>
  <pageSetup scale="75" orientation="landscape"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315"/>
  <sheetViews>
    <sheetView zoomScale="85" zoomScaleNormal="85" workbookViewId="0">
      <selection activeCell="A6" sqref="A6"/>
    </sheetView>
  </sheetViews>
  <sheetFormatPr defaultColWidth="11.42578125" defaultRowHeight="12.75" customHeight="1"/>
  <cols>
    <col min="1" max="1" width="14" style="86" customWidth="1"/>
    <col min="2" max="2" width="13.7109375" style="86" customWidth="1"/>
    <col min="3" max="3" width="11.85546875" style="86" customWidth="1"/>
    <col min="4" max="4" width="13.140625" style="86" customWidth="1"/>
    <col min="5" max="5" width="10.5703125" style="86" customWidth="1"/>
    <col min="6" max="6" width="12" style="86" customWidth="1"/>
    <col min="7" max="7" width="10.5703125" style="86" customWidth="1"/>
    <col min="8" max="8" width="11.5703125" style="86" customWidth="1"/>
    <col min="9" max="9" width="11.28515625" style="86" customWidth="1"/>
    <col min="10" max="10" width="12.85546875" style="86" bestFit="1" customWidth="1"/>
    <col min="11" max="11" width="13.5703125" style="86" customWidth="1"/>
    <col min="12" max="12" width="12.85546875" style="86" customWidth="1"/>
    <col min="13" max="13" width="11.42578125" style="86" customWidth="1"/>
    <col min="14" max="14" width="12" style="86" customWidth="1"/>
    <col min="15" max="15" width="11.42578125" style="86" customWidth="1"/>
    <col min="16" max="16" width="11.5703125" style="86" customWidth="1"/>
    <col min="17" max="17" width="13.140625" style="86" customWidth="1"/>
    <col min="18" max="18" width="11.7109375" style="86" customWidth="1"/>
    <col min="19" max="19" width="11" style="86" customWidth="1"/>
    <col min="20" max="23" width="11.42578125" style="86" customWidth="1"/>
    <col min="24" max="24" width="8.85546875" style="86" customWidth="1"/>
    <col min="25" max="31" width="11.42578125" style="86" customWidth="1"/>
    <col min="32" max="16384" width="11.42578125" style="86"/>
  </cols>
  <sheetData>
    <row r="1" spans="1:24" ht="19.5" customHeight="1">
      <c r="A1" s="113" t="s">
        <v>21</v>
      </c>
      <c r="K1" s="114" t="s">
        <v>148</v>
      </c>
      <c r="L1" s="114" t="str">
        <f>IF(MAX(C9:C100)&gt;0.6, "Saturated Ref Cell !! @ "&amp;(INT(1000*MAX(C12:C100))/1000)&amp;" V","")</f>
        <v/>
      </c>
      <c r="U1" s="86" t="s">
        <v>253</v>
      </c>
    </row>
    <row r="2" spans="1:24">
      <c r="A2" s="91" t="s">
        <v>222</v>
      </c>
      <c r="E2" s="115" t="s">
        <v>3</v>
      </c>
      <c r="F2" s="116">
        <v>42206</v>
      </c>
      <c r="H2" s="115" t="s">
        <v>243</v>
      </c>
      <c r="I2" s="117">
        <v>1.602176487E-19</v>
      </c>
      <c r="U2" s="105">
        <f>MAX(B9:B133)</f>
        <v>0.69414299999999995</v>
      </c>
    </row>
    <row r="3" spans="1:24">
      <c r="E3" s="115" t="s">
        <v>23</v>
      </c>
      <c r="F3" s="118">
        <v>0.48884259259259261</v>
      </c>
      <c r="H3" s="115" t="s">
        <v>244</v>
      </c>
      <c r="I3" s="117">
        <v>1.3806450400000001E-23</v>
      </c>
      <c r="U3" s="86" t="s">
        <v>254</v>
      </c>
    </row>
    <row r="4" spans="1:24" ht="10.5" customHeight="1" thickBot="1">
      <c r="U4" s="105">
        <f>AVERAGE(B9:B133)</f>
        <v>0.55108265599999995</v>
      </c>
    </row>
    <row r="5" spans="1:24" ht="41.25" thickBot="1">
      <c r="A5" s="119" t="s">
        <v>61</v>
      </c>
      <c r="B5" s="120" t="s">
        <v>236</v>
      </c>
      <c r="C5" s="120" t="s">
        <v>245</v>
      </c>
      <c r="D5" s="120" t="s">
        <v>237</v>
      </c>
      <c r="E5" s="120" t="s">
        <v>238</v>
      </c>
      <c r="F5" s="120" t="s">
        <v>6</v>
      </c>
      <c r="G5" s="120" t="s">
        <v>7</v>
      </c>
      <c r="H5" s="120" t="s">
        <v>8</v>
      </c>
      <c r="I5" s="120" t="s">
        <v>9</v>
      </c>
      <c r="J5" s="120" t="s">
        <v>10</v>
      </c>
      <c r="K5" s="120" t="s">
        <v>261</v>
      </c>
      <c r="L5" s="120" t="s">
        <v>262</v>
      </c>
      <c r="M5" s="120" t="s">
        <v>263</v>
      </c>
      <c r="N5" s="120" t="s">
        <v>264</v>
      </c>
      <c r="O5" s="120" t="s">
        <v>13</v>
      </c>
      <c r="P5" s="120" t="s">
        <v>5</v>
      </c>
      <c r="Q5" s="120" t="s">
        <v>24</v>
      </c>
      <c r="R5" s="121" t="s">
        <v>166</v>
      </c>
      <c r="S5" s="122"/>
    </row>
    <row r="6" spans="1:24" ht="13.5" thickBot="1">
      <c r="A6" s="123">
        <v>23.448412999999999</v>
      </c>
      <c r="B6" s="124">
        <f>calcdoping(WaferRes,WaferType)</f>
        <v>7218785540591394</v>
      </c>
      <c r="C6" s="124">
        <f>91500000000000000000*(298.15/300)^2*EXP(-6880/298.15)</f>
        <v>8598607060.6721096</v>
      </c>
      <c r="D6" s="124">
        <f>MAX(B9:B133)</f>
        <v>0.69414299999999995</v>
      </c>
      <c r="E6" s="124">
        <f>LOOKUP(2,1/(B9:B133=MaxPV),A9:A133)</f>
        <v>3.6400000000000001E-4</v>
      </c>
      <c r="F6" s="125">
        <f>INTERCEPT(P$15:P$102,V$15:V$102)</f>
        <v>0.63345187365687061</v>
      </c>
      <c r="G6" s="125">
        <f>INDEX(D9:D133,MATCH(Q6,X9:X133,0))</f>
        <v>0.53398950859999994</v>
      </c>
      <c r="H6" s="125">
        <f>INDEX(U9:U133,MATCH(Q6,X9:X133,0))</f>
        <v>3.4805311714617579E-2</v>
      </c>
      <c r="I6" s="126">
        <f>Vmp*Jmp/Jsc/Voc</f>
        <v>0.75033386682760994</v>
      </c>
      <c r="J6" s="127">
        <f>1000*MAX(X20:X110)</f>
        <v>18.585671299158463</v>
      </c>
      <c r="K6" s="128">
        <f>-SLOPE(P12:P129,U12:U129)</f>
        <v>0.92141873300476862</v>
      </c>
      <c r="L6" s="127">
        <f>AVERAGE(W20:W131)/(0.025*Jsc)</f>
        <v>421.68715064553368</v>
      </c>
      <c r="M6" s="124">
        <f>Jo_1pA*0.000000000001</f>
        <v>3.2967101448967979E-13</v>
      </c>
      <c r="N6" s="124">
        <f>Jo_2nA*0.000000001</f>
        <v>9.4844862708930474E-8</v>
      </c>
      <c r="O6" s="127">
        <f>SLOPE($R$15:$R$132,$T$15:$T$132)/0.05915</f>
        <v>2.9355649513999564</v>
      </c>
      <c r="P6" s="127">
        <f>SLOPE($Q$15:$Q$120,$S$15:$S$120)/0.05915</f>
        <v>1.3413448673507613</v>
      </c>
      <c r="Q6" s="128">
        <f>MAX(X16:X132)</f>
        <v>1.8585671299158463E-2</v>
      </c>
      <c r="R6" s="129">
        <f>(LOG(0.1)-INTERCEPT(T25:T132,R25:R132))/SLOPE(T25:T132,R25:R132)</f>
        <v>0.52654587842877532</v>
      </c>
      <c r="S6" s="130"/>
    </row>
    <row r="7" spans="1:24" ht="12.75" customHeight="1" thickBot="1"/>
    <row r="8" spans="1:24" ht="42" customHeight="1" thickBot="1">
      <c r="A8" s="119" t="s">
        <v>37</v>
      </c>
      <c r="B8" s="120" t="s">
        <v>38</v>
      </c>
      <c r="C8" s="120" t="s">
        <v>39</v>
      </c>
      <c r="D8" s="120" t="s">
        <v>150</v>
      </c>
      <c r="E8" s="120" t="s">
        <v>242</v>
      </c>
      <c r="F8" s="120" t="s">
        <v>241</v>
      </c>
      <c r="G8" s="120" t="s">
        <v>240</v>
      </c>
      <c r="H8" s="120" t="s">
        <v>265</v>
      </c>
      <c r="I8" s="120" t="s">
        <v>266</v>
      </c>
      <c r="J8" s="120" t="s">
        <v>1</v>
      </c>
      <c r="K8" s="120" t="s">
        <v>62</v>
      </c>
      <c r="L8" s="120" t="s">
        <v>64</v>
      </c>
      <c r="M8" s="120" t="s">
        <v>2</v>
      </c>
      <c r="N8" s="120" t="s">
        <v>239</v>
      </c>
      <c r="O8" s="120" t="s">
        <v>246</v>
      </c>
      <c r="P8" s="120" t="s">
        <v>18</v>
      </c>
      <c r="Q8" s="120" t="s">
        <v>14</v>
      </c>
      <c r="R8" s="120" t="s">
        <v>15</v>
      </c>
      <c r="S8" s="120" t="s">
        <v>69</v>
      </c>
      <c r="T8" s="120" t="s">
        <v>70</v>
      </c>
      <c r="U8" s="120" t="s">
        <v>16</v>
      </c>
      <c r="V8" s="120" t="s">
        <v>68</v>
      </c>
      <c r="W8" s="120" t="s">
        <v>19</v>
      </c>
      <c r="X8" s="121" t="s">
        <v>17</v>
      </c>
    </row>
    <row r="9" spans="1:24">
      <c r="A9" s="131">
        <v>5.1999999999999997E-5</v>
      </c>
      <c r="B9" s="131">
        <v>0.65990499999999996</v>
      </c>
      <c r="C9" s="131">
        <v>0.35975099999999999</v>
      </c>
      <c r="D9" s="132">
        <f t="shared" ref="D9:D40" si="0">B9/NumCells+(Temp-25)*NumCells*TempCo</f>
        <v>0.65649150859999994</v>
      </c>
      <c r="F9" s="100">
        <f>calccarrierdensity(SampleDoping,D9,ni_SproulGreen)</f>
        <v>1109870879031804</v>
      </c>
      <c r="G9" s="100">
        <f>IF(WaferType="p-type",n_intr_boltzmann(0,SampleDoping,F9,298.15),n_intr_boltzmann(SampleDoping,0,F9,298.15))</f>
        <v>8903584454.3714714</v>
      </c>
      <c r="H9" s="100">
        <f t="shared" ref="H9:H40" si="1">IF(BandGapSetting="OFF",F9,calccarrierdensity(SampleDoping,D9,G9))</f>
        <v>1109870879031804</v>
      </c>
      <c r="I9" s="100"/>
      <c r="J9" s="132">
        <f t="shared" ref="J9:J40" si="2">IF(C9&gt;0,C9/RefCellCal,0.0001)</f>
        <v>3.3578094110260315</v>
      </c>
      <c r="K9" s="132">
        <f t="shared" ref="K9:K40" si="3">IF(Mode="Generalized",J9-q*Wafer_Thickness*I9/Jsc,J9)</f>
        <v>3.3578094110260315</v>
      </c>
      <c r="L9" s="132">
        <f t="shared" ref="L9:L40" si="4">IF(K9&lt;0.001, 0.001, K9)</f>
        <v>3.3578094110260315</v>
      </c>
      <c r="M9" s="86" t="str">
        <f>IF(A9&lt;$E$6,"",calcfit(Jo_1,Jo_2,Rshunt,Jsc,D9))</f>
        <v/>
      </c>
      <c r="N9" s="86" t="str">
        <f t="shared" ref="N9:N40" si="5">IF(M9="","",(((M9)-L9)*((M9)-L9)/M9/M9))</f>
        <v/>
      </c>
      <c r="P9" s="103" t="str">
        <f t="shared" ref="P9:P40" si="6">IF(A9&lt;TimeofMaxPV,"",IF(L9&gt;0.85,IF(L9&lt;1.1,D9,""),""))</f>
        <v/>
      </c>
      <c r="Q9" s="103" t="str">
        <f t="shared" ref="Q9:Q40" si="7">IF(A9&lt;TimeofMaxPV,"",IF(L9&gt;0.85,IF(L9&lt;1.15,D9,""),""))</f>
        <v/>
      </c>
      <c r="R9" s="103" t="str">
        <f t="shared" ref="R9:R40" si="8">IF(A9&lt;TimeofMaxPV,"",IF(L9&gt;0.06,IF(L9&lt;0.14,D9,""),""))</f>
        <v/>
      </c>
      <c r="S9" s="103" t="str">
        <f t="shared" ref="S9:S40" si="9">IF(Q9="","",LOG10($L9))</f>
        <v/>
      </c>
      <c r="T9" s="103" t="str">
        <f t="shared" ref="T9:T40" si="10">IF(R9="","",LOG10($L9))</f>
        <v/>
      </c>
      <c r="U9" s="97">
        <f t="shared" ref="U9:U40" si="11">Jsc*(1-L9)</f>
        <v>-9.2197421399350901E-2</v>
      </c>
      <c r="V9" s="103" t="str">
        <f>IF(P9="","",U9)</f>
        <v/>
      </c>
      <c r="W9" s="103" t="str">
        <f t="shared" ref="W9:W40" si="12">IF(A9&lt;TimeofMaxPV,"",IF(U9&gt;0.96*Jsc,IF(U9&lt;0.98*Jsc,D9,""),""))</f>
        <v/>
      </c>
      <c r="X9" s="132">
        <f t="shared" ref="X9:X40" si="13">D9*U9</f>
        <v>-6.0526824263489792E-2</v>
      </c>
    </row>
    <row r="10" spans="1:24">
      <c r="A10" s="131">
        <v>1.56E-4</v>
      </c>
      <c r="B10" s="131">
        <v>0.68849000000000005</v>
      </c>
      <c r="C10" s="131">
        <v>0.52784699999999996</v>
      </c>
      <c r="D10" s="132">
        <f t="shared" si="0"/>
        <v>0.68507650860000002</v>
      </c>
      <c r="E10" s="132">
        <f t="shared" ref="E10:E41" si="14">SLOPE(D9:D10,A9:A10)</f>
        <v>274.85576923077002</v>
      </c>
      <c r="F10" s="100">
        <f t="shared" ref="F10:F40" si="15">calccarrierdensity(SampleDoping,D10,ni_SproulGreen)</f>
        <v>2805346977472531</v>
      </c>
      <c r="G10" s="100">
        <f>IF(WaferType="p-type",n_intr_boltzmann(0,SampleDoping,F10,298.15),n_intr_boltzmann(SampleDoping,0,F10,298.15))</f>
        <v>8951169718.2086964</v>
      </c>
      <c r="H10" s="100">
        <f t="shared" si="1"/>
        <v>2805346977472531</v>
      </c>
      <c r="I10" s="100">
        <f>calcdndt(D10,SampleDoping,ni_SproulGreen,G10,E10,BandGapSetting)</f>
        <v>2.344882152433521E+19</v>
      </c>
      <c r="J10" s="132">
        <f t="shared" si="2"/>
        <v>4.9267677481976637</v>
      </c>
      <c r="K10" s="132">
        <f t="shared" si="3"/>
        <v>3.1973743285247775</v>
      </c>
      <c r="L10" s="132">
        <f t="shared" si="4"/>
        <v>3.1973743285247775</v>
      </c>
      <c r="M10" s="86" t="str">
        <f>IF(A10&lt;$E$6,"",calcfit(Jo_1,Jo_2,Rshunt,Jsc,D10))</f>
        <v/>
      </c>
      <c r="N10" s="86" t="str">
        <f t="shared" si="5"/>
        <v/>
      </c>
      <c r="O10" s="100">
        <f t="shared" ref="O10:O41" si="16">H10/((Jsc*L10)/(q*Wafer_Thickness))</f>
        <v>6.4709177798055961E-5</v>
      </c>
      <c r="P10" s="103" t="str">
        <f t="shared" si="6"/>
        <v/>
      </c>
      <c r="Q10" s="103" t="str">
        <f t="shared" si="7"/>
        <v/>
      </c>
      <c r="R10" s="103" t="str">
        <f t="shared" si="8"/>
        <v/>
      </c>
      <c r="S10" s="103" t="str">
        <f t="shared" si="9"/>
        <v/>
      </c>
      <c r="T10" s="103" t="str">
        <f t="shared" si="10"/>
        <v/>
      </c>
      <c r="U10" s="97">
        <f t="shared" si="11"/>
        <v>-8.592392836830437E-2</v>
      </c>
      <c r="V10" s="103" t="str">
        <f t="shared" ref="V10:V40" si="17">IF(P10="","",U10)</f>
        <v/>
      </c>
      <c r="W10" s="103" t="str">
        <f t="shared" si="12"/>
        <v/>
      </c>
      <c r="X10" s="132">
        <f t="shared" si="13"/>
        <v>-5.8864464851754457E-2</v>
      </c>
    </row>
    <row r="11" spans="1:24">
      <c r="A11" s="131">
        <v>2.5999999999999998E-4</v>
      </c>
      <c r="B11" s="131">
        <v>0.69331799999999999</v>
      </c>
      <c r="C11" s="131">
        <v>0.56629600000000002</v>
      </c>
      <c r="D11" s="132">
        <f t="shared" si="0"/>
        <v>0.68990450859999997</v>
      </c>
      <c r="E11" s="132">
        <f t="shared" si="14"/>
        <v>46.423076923076387</v>
      </c>
      <c r="F11" s="100">
        <f t="shared" si="15"/>
        <v>3243516617956357</v>
      </c>
      <c r="G11" s="100">
        <f>IF(WaferType="p-type",n_intr_boltzmann(0,SampleDoping,F11,298.15),n_intr_boltzmann(SampleDoping,0,F11,298.15))</f>
        <v>8963385762.6732368</v>
      </c>
      <c r="H11" s="100">
        <f t="shared" si="1"/>
        <v>3243516617956357</v>
      </c>
      <c r="I11" s="100">
        <f t="shared" ref="I11:I41" si="18">calcdndt(D11,SampleDoping,ni_SproulGreen,G11,E11,BandGapSetting)</f>
        <v>4.4736720074113971E+18</v>
      </c>
      <c r="J11" s="132">
        <f t="shared" si="2"/>
        <v>5.285639340061314</v>
      </c>
      <c r="K11" s="132">
        <f>IF(Mode="Generalized",J11-q*Wafer_Thickness*I11/Jsc,J11)</f>
        <v>4.9556978577841404</v>
      </c>
      <c r="L11" s="132">
        <f t="shared" si="4"/>
        <v>4.9556978577841404</v>
      </c>
      <c r="M11" s="86" t="str">
        <f>IF(A11&lt;$E$6,"",calcfit(Jo_1,Jo_2,Rshunt,Jsc,D11))</f>
        <v/>
      </c>
      <c r="N11" s="86" t="str">
        <f t="shared" si="5"/>
        <v/>
      </c>
      <c r="O11" s="100">
        <f t="shared" si="16"/>
        <v>4.8270754621154081E-5</v>
      </c>
      <c r="P11" s="103" t="str">
        <f t="shared" si="6"/>
        <v/>
      </c>
      <c r="Q11" s="103" t="str">
        <f t="shared" si="7"/>
        <v/>
      </c>
      <c r="R11" s="103" t="str">
        <f t="shared" si="8"/>
        <v/>
      </c>
      <c r="S11" s="103" t="str">
        <f t="shared" si="9"/>
        <v/>
      </c>
      <c r="T11" s="103" t="str">
        <f t="shared" si="10"/>
        <v/>
      </c>
      <c r="U11" s="97">
        <f t="shared" si="11"/>
        <v>-0.15467965333293324</v>
      </c>
      <c r="V11" s="103" t="str">
        <f t="shared" si="17"/>
        <v/>
      </c>
      <c r="W11" s="103" t="str">
        <f t="shared" si="12"/>
        <v/>
      </c>
      <c r="X11" s="132">
        <f t="shared" si="13"/>
        <v>-0.10671419022307566</v>
      </c>
    </row>
    <row r="12" spans="1:24">
      <c r="A12" s="131">
        <v>3.6400000000000001E-4</v>
      </c>
      <c r="B12" s="131">
        <v>0.69414299999999995</v>
      </c>
      <c r="C12" s="131">
        <v>0.58404500000000004</v>
      </c>
      <c r="D12" s="132">
        <f t="shared" si="0"/>
        <v>0.69072950859999993</v>
      </c>
      <c r="E12" s="132">
        <f t="shared" si="14"/>
        <v>7.9326923076919655</v>
      </c>
      <c r="F12" s="100">
        <f t="shared" si="15"/>
        <v>3323839219660405</v>
      </c>
      <c r="G12" s="100">
        <f>IF(WaferType="p-type",n_intr_boltzmann(0,SampleDoping,F12,298.15),n_intr_boltzmann(SampleDoping,0,F12,298.15))</f>
        <v>8965614622.7493229</v>
      </c>
      <c r="H12" s="100">
        <f t="shared" si="1"/>
        <v>3323839219660405</v>
      </c>
      <c r="I12" s="100">
        <f t="shared" si="18"/>
        <v>7.8025301522878118E+17</v>
      </c>
      <c r="J12" s="132">
        <f t="shared" si="2"/>
        <v>5.4513032554814274</v>
      </c>
      <c r="K12" s="132">
        <f t="shared" si="3"/>
        <v>5.3937581703769926</v>
      </c>
      <c r="L12" s="132">
        <f>IF(K12&lt;0.001, 0.001, K12)</f>
        <v>5.3937581703769926</v>
      </c>
      <c r="M12" s="132">
        <f>IF(A12&lt;$E$6,"",calcfit(Jo_1,Jo_2,Rshunt,Jsc,D12))</f>
        <v>5.6972241351927293</v>
      </c>
      <c r="N12" s="100">
        <f t="shared" si="5"/>
        <v>2.837222328085736E-3</v>
      </c>
      <c r="O12" s="100">
        <f t="shared" si="16"/>
        <v>4.5448684594559599E-5</v>
      </c>
      <c r="P12" s="103" t="str">
        <f t="shared" si="6"/>
        <v/>
      </c>
      <c r="Q12" s="103" t="str">
        <f t="shared" si="7"/>
        <v/>
      </c>
      <c r="R12" s="103" t="str">
        <f t="shared" si="8"/>
        <v/>
      </c>
      <c r="S12" s="103" t="str">
        <f t="shared" si="9"/>
        <v/>
      </c>
      <c r="T12" s="103" t="str">
        <f t="shared" si="10"/>
        <v/>
      </c>
      <c r="U12" s="97">
        <f t="shared" si="11"/>
        <v>-0.17180912573625154</v>
      </c>
      <c r="V12" s="103" t="str">
        <f t="shared" si="17"/>
        <v/>
      </c>
      <c r="W12" s="103" t="str">
        <f t="shared" si="12"/>
        <v/>
      </c>
      <c r="X12" s="132">
        <f t="shared" si="13"/>
        <v>-0.11867363299279662</v>
      </c>
    </row>
    <row r="13" spans="1:24">
      <c r="A13" s="131">
        <v>4.6799999999999999E-4</v>
      </c>
      <c r="B13" s="131">
        <v>0.69291000000000003</v>
      </c>
      <c r="C13" s="131">
        <v>0.584538</v>
      </c>
      <c r="D13" s="132">
        <f t="shared" si="0"/>
        <v>0.6894965086</v>
      </c>
      <c r="E13" s="132">
        <f t="shared" si="14"/>
        <v>-11.855769230768548</v>
      </c>
      <c r="F13" s="100">
        <f t="shared" si="15"/>
        <v>3204397597994894</v>
      </c>
      <c r="G13" s="100">
        <f>IF(WaferType="p-type",n_intr_boltzmann(0,SampleDoping,F13,298.15),n_intr_boltzmann(SampleDoping,0,F13,298.15))</f>
        <v>8962298994.1523647</v>
      </c>
      <c r="H13" s="100">
        <f t="shared" si="1"/>
        <v>3204397597994894</v>
      </c>
      <c r="I13" s="100">
        <f t="shared" si="18"/>
        <v>-1.1309660202774986E+18</v>
      </c>
      <c r="J13" s="132">
        <f t="shared" si="2"/>
        <v>5.4559047716402027</v>
      </c>
      <c r="K13" s="132">
        <f>IF(Mode="Generalized",J13-q*Wafer_Thickness*I13/Jsc,J13)</f>
        <v>5.5393155814888644</v>
      </c>
      <c r="L13" s="132">
        <f t="shared" si="4"/>
        <v>5.5393155814888644</v>
      </c>
      <c r="M13" s="132">
        <f>IF(A13&lt;$E$6,"",calcfit(Jo_1,Jo_2,Rshunt,Jsc,D13))</f>
        <v>5.4703454091012151</v>
      </c>
      <c r="N13" s="100">
        <f t="shared" si="5"/>
        <v>1.5896192891134999E-4</v>
      </c>
      <c r="O13" s="100">
        <f t="shared" si="16"/>
        <v>4.2664147332825488E-5</v>
      </c>
      <c r="P13" s="103" t="str">
        <f t="shared" si="6"/>
        <v/>
      </c>
      <c r="Q13" s="103" t="str">
        <f t="shared" si="7"/>
        <v/>
      </c>
      <c r="R13" s="103" t="str">
        <f t="shared" si="8"/>
        <v/>
      </c>
      <c r="S13" s="103" t="str">
        <f t="shared" si="9"/>
        <v/>
      </c>
      <c r="T13" s="103" t="str">
        <f t="shared" si="10"/>
        <v/>
      </c>
      <c r="U13" s="97">
        <f t="shared" si="11"/>
        <v>-0.17750085718295905</v>
      </c>
      <c r="V13" s="103" t="str">
        <f t="shared" si="17"/>
        <v/>
      </c>
      <c r="W13" s="103" t="str">
        <f t="shared" si="12"/>
        <v/>
      </c>
      <c r="X13" s="132">
        <f t="shared" si="13"/>
        <v>-0.12238622130115749</v>
      </c>
    </row>
    <row r="14" spans="1:24">
      <c r="A14" s="131">
        <v>5.7200000000000003E-4</v>
      </c>
      <c r="B14" s="131">
        <v>0.69132099999999996</v>
      </c>
      <c r="C14" s="131">
        <v>0.575932</v>
      </c>
      <c r="D14" s="132">
        <f t="shared" si="0"/>
        <v>0.68790750859999994</v>
      </c>
      <c r="E14" s="132">
        <f t="shared" si="14"/>
        <v>-15.278846153846748</v>
      </c>
      <c r="F14" s="100">
        <f t="shared" si="15"/>
        <v>3055788596464850</v>
      </c>
      <c r="G14" s="100">
        <f>IF(WaferType="p-type",n_intr_boltzmann(0,SampleDoping,F14,298.15),n_intr_boltzmann(SampleDoping,0,F14,298.15))</f>
        <v>8958163256.5643482</v>
      </c>
      <c r="H14" s="100">
        <f t="shared" si="1"/>
        <v>3055788596464850</v>
      </c>
      <c r="I14" s="100">
        <f t="shared" si="18"/>
        <v>-1.400643286311019E+18</v>
      </c>
      <c r="J14" s="132">
        <f t="shared" si="2"/>
        <v>5.3755789135014069</v>
      </c>
      <c r="K14" s="132">
        <f t="shared" si="3"/>
        <v>5.4788789143198473</v>
      </c>
      <c r="L14" s="132">
        <f t="shared" si="4"/>
        <v>5.4788789143198473</v>
      </c>
      <c r="M14" s="132">
        <f>IF(A14&lt;$E$6,"",calcfit(Jo_1,Jo_2,Rshunt,Jsc,D14))</f>
        <v>5.1922214298849925</v>
      </c>
      <c r="N14" s="100">
        <f t="shared" si="5"/>
        <v>3.0480364777474914E-3</v>
      </c>
      <c r="O14" s="100">
        <f t="shared" si="16"/>
        <v>4.1134325890383774E-5</v>
      </c>
      <c r="P14" s="103" t="str">
        <f t="shared" si="6"/>
        <v/>
      </c>
      <c r="Q14" s="103" t="str">
        <f t="shared" si="7"/>
        <v/>
      </c>
      <c r="R14" s="103" t="str">
        <f t="shared" si="8"/>
        <v/>
      </c>
      <c r="S14" s="103" t="str">
        <f t="shared" si="9"/>
        <v/>
      </c>
      <c r="T14" s="103" t="str">
        <f t="shared" si="10"/>
        <v/>
      </c>
      <c r="U14" s="97">
        <f t="shared" si="11"/>
        <v>-0.17513760218664898</v>
      </c>
      <c r="V14" s="103" t="str">
        <f t="shared" si="17"/>
        <v/>
      </c>
      <c r="W14" s="103" t="str">
        <f t="shared" si="12"/>
        <v/>
      </c>
      <c r="X14" s="132">
        <f t="shared" si="13"/>
        <v>-0.12047847158239559</v>
      </c>
    </row>
    <row r="15" spans="1:24">
      <c r="A15" s="131">
        <v>6.7599999999999995E-4</v>
      </c>
      <c r="B15" s="131">
        <v>0.68964700000000001</v>
      </c>
      <c r="C15" s="131">
        <v>0.56088099999999996</v>
      </c>
      <c r="D15" s="132">
        <f t="shared" si="0"/>
        <v>0.68623350859999999</v>
      </c>
      <c r="E15" s="132">
        <f t="shared" si="14"/>
        <v>-16.09615384615341</v>
      </c>
      <c r="F15" s="100">
        <f t="shared" si="15"/>
        <v>2905528305938229</v>
      </c>
      <c r="G15" s="100">
        <f>IF(WaferType="p-type",n_intr_boltzmann(0,SampleDoping,F15,298.15),n_intr_boltzmann(SampleDoping,0,F15,298.15))</f>
        <v>8953970629.4402351</v>
      </c>
      <c r="H15" s="100">
        <f t="shared" si="1"/>
        <v>2905528305938229</v>
      </c>
      <c r="I15" s="100">
        <f t="shared" si="18"/>
        <v>-1.4143779827964188E+18</v>
      </c>
      <c r="J15" s="132">
        <f t="shared" si="2"/>
        <v>5.2350973319481851</v>
      </c>
      <c r="K15" s="132">
        <f t="shared" si="3"/>
        <v>5.3394102917205926</v>
      </c>
      <c r="L15" s="132">
        <f t="shared" si="4"/>
        <v>5.3394102917205926</v>
      </c>
      <c r="M15" s="132">
        <f>IF(A15&lt;$E$6,"",calcfit(Jo_1,Jo_2,Rshunt,Jsc,D15))</f>
        <v>4.9156550717063325</v>
      </c>
      <c r="N15" s="100">
        <f t="shared" si="5"/>
        <v>7.4313432210950667E-3</v>
      </c>
      <c r="O15" s="100">
        <f t="shared" si="16"/>
        <v>4.0133274682413029E-5</v>
      </c>
      <c r="P15" s="103" t="str">
        <f t="shared" si="6"/>
        <v/>
      </c>
      <c r="Q15" s="103" t="str">
        <f t="shared" si="7"/>
        <v/>
      </c>
      <c r="R15" s="103" t="str">
        <f t="shared" si="8"/>
        <v/>
      </c>
      <c r="S15" s="103" t="str">
        <f t="shared" si="9"/>
        <v/>
      </c>
      <c r="T15" s="103" t="str">
        <f t="shared" si="10"/>
        <v/>
      </c>
      <c r="U15" s="97">
        <f t="shared" si="11"/>
        <v>-0.16968396063715033</v>
      </c>
      <c r="V15" s="103" t="str">
        <f t="shared" si="17"/>
        <v/>
      </c>
      <c r="W15" s="103" t="str">
        <f t="shared" si="12"/>
        <v/>
      </c>
      <c r="X15" s="132">
        <f t="shared" si="13"/>
        <v>-0.11644281966117596</v>
      </c>
    </row>
    <row r="16" spans="1:24">
      <c r="A16" s="131">
        <v>7.7999999999999999E-4</v>
      </c>
      <c r="B16" s="131">
        <v>0.68795600000000001</v>
      </c>
      <c r="C16" s="131">
        <v>0.53958700000000004</v>
      </c>
      <c r="D16" s="132">
        <f t="shared" si="0"/>
        <v>0.68454250859999999</v>
      </c>
      <c r="E16" s="132">
        <f t="shared" si="14"/>
        <v>-16.259615384615362</v>
      </c>
      <c r="F16" s="100">
        <f t="shared" si="15"/>
        <v>2760100333390812</v>
      </c>
      <c r="G16" s="100">
        <f>IF(WaferType="p-type",n_intr_boltzmann(0,SampleDoping,F16,298.15),n_intr_boltzmann(SampleDoping,0,F16,298.15))</f>
        <v>8949903330.0826111</v>
      </c>
      <c r="H16" s="100">
        <f t="shared" si="1"/>
        <v>2760100333390812</v>
      </c>
      <c r="I16" s="100">
        <f t="shared" si="18"/>
        <v>-1.3682773672483492E+18</v>
      </c>
      <c r="J16" s="132">
        <f t="shared" si="2"/>
        <v>5.0363454352240957</v>
      </c>
      <c r="K16" s="132">
        <f t="shared" si="3"/>
        <v>5.1372583903911986</v>
      </c>
      <c r="L16" s="132">
        <f t="shared" si="4"/>
        <v>5.1372583903911986</v>
      </c>
      <c r="M16" s="132">
        <f>IF(A16&lt;$E$6,"",calcfit(Jo_1,Jo_2,Rshunt,Jsc,D16))</f>
        <v>4.6523878646876913</v>
      </c>
      <c r="N16" s="100">
        <f t="shared" si="5"/>
        <v>1.0861748473908247E-2</v>
      </c>
      <c r="O16" s="100">
        <f t="shared" si="16"/>
        <v>3.9624723109591308E-5</v>
      </c>
      <c r="P16" s="103" t="str">
        <f t="shared" si="6"/>
        <v/>
      </c>
      <c r="Q16" s="103" t="str">
        <f t="shared" si="7"/>
        <v/>
      </c>
      <c r="R16" s="103" t="str">
        <f t="shared" si="8"/>
        <v/>
      </c>
      <c r="S16" s="103" t="str">
        <f t="shared" si="9"/>
        <v/>
      </c>
      <c r="T16" s="103" t="str">
        <f t="shared" si="10"/>
        <v/>
      </c>
      <c r="U16" s="97">
        <f t="shared" si="11"/>
        <v>-0.16177921483946703</v>
      </c>
      <c r="V16" s="103" t="str">
        <f t="shared" si="17"/>
        <v/>
      </c>
      <c r="W16" s="103" t="str">
        <f t="shared" si="12"/>
        <v/>
      </c>
      <c r="X16" s="132">
        <f t="shared" si="13"/>
        <v>-0.1107447495655471</v>
      </c>
    </row>
    <row r="17" spans="1:24">
      <c r="A17" s="131">
        <v>8.8400000000000002E-4</v>
      </c>
      <c r="B17" s="131">
        <v>0.68624300000000005</v>
      </c>
      <c r="C17" s="131">
        <v>0.51190100000000005</v>
      </c>
      <c r="D17" s="132">
        <f t="shared" si="0"/>
        <v>0.68282950860000002</v>
      </c>
      <c r="E17" s="132">
        <f t="shared" si="14"/>
        <v>-16.471153846153499</v>
      </c>
      <c r="F17" s="100">
        <f t="shared" si="15"/>
        <v>2619087701491164</v>
      </c>
      <c r="G17" s="100">
        <f>IF(WaferType="p-type",n_intr_boltzmann(0,SampleDoping,F17,298.15),n_intr_boltzmann(SampleDoping,0,F17,298.15))</f>
        <v>8945951605.0721951</v>
      </c>
      <c r="H17" s="100">
        <f t="shared" si="1"/>
        <v>2619087701491164</v>
      </c>
      <c r="I17" s="100">
        <f t="shared" si="18"/>
        <v>-1.3260350444794455E+18</v>
      </c>
      <c r="J17" s="132">
        <f t="shared" si="2"/>
        <v>4.7779325014069087</v>
      </c>
      <c r="K17" s="132">
        <f t="shared" si="3"/>
        <v>4.8757300081088326</v>
      </c>
      <c r="L17" s="132">
        <f t="shared" si="4"/>
        <v>4.8757300081088326</v>
      </c>
      <c r="M17" s="132">
        <f>IF(A17&lt;$E$6,"",calcfit(Jo_1,Jo_2,Rshunt,Jsc,D17))</f>
        <v>4.4012026504239845</v>
      </c>
      <c r="N17" s="100">
        <f t="shared" si="5"/>
        <v>1.1624647157733262E-2</v>
      </c>
      <c r="O17" s="100">
        <f t="shared" si="16"/>
        <v>3.961714487068222E-5</v>
      </c>
      <c r="P17" s="103" t="str">
        <f t="shared" si="6"/>
        <v/>
      </c>
      <c r="Q17" s="103" t="str">
        <f t="shared" si="7"/>
        <v/>
      </c>
      <c r="R17" s="103" t="str">
        <f t="shared" si="8"/>
        <v/>
      </c>
      <c r="S17" s="103" t="str">
        <f t="shared" si="9"/>
        <v/>
      </c>
      <c r="T17" s="103" t="str">
        <f t="shared" si="10"/>
        <v/>
      </c>
      <c r="U17" s="97">
        <f t="shared" si="11"/>
        <v>-0.15155267050707968</v>
      </c>
      <c r="V17" s="103" t="str">
        <f t="shared" si="17"/>
        <v/>
      </c>
      <c r="W17" s="103" t="str">
        <f t="shared" si="12"/>
        <v/>
      </c>
      <c r="X17" s="132">
        <f t="shared" si="13"/>
        <v>-0.10348463552936693</v>
      </c>
    </row>
    <row r="18" spans="1:24">
      <c r="A18" s="131">
        <v>9.8799999999999995E-4</v>
      </c>
      <c r="B18" s="131">
        <v>0.68450599999999995</v>
      </c>
      <c r="C18" s="131">
        <v>0.480215</v>
      </c>
      <c r="D18" s="132">
        <f t="shared" si="0"/>
        <v>0.68109250859999992</v>
      </c>
      <c r="E18" s="132">
        <f t="shared" si="14"/>
        <v>-16.701923076924047</v>
      </c>
      <c r="F18" s="100">
        <f t="shared" si="15"/>
        <v>2482369712651289</v>
      </c>
      <c r="G18" s="100">
        <f>IF(WaferType="p-type",n_intr_boltzmann(0,SampleDoping,F18,298.15),n_intr_boltzmann(SampleDoping,0,F18,298.15))</f>
        <v>8942113845.5638924</v>
      </c>
      <c r="H18" s="100">
        <f t="shared" si="1"/>
        <v>2482369712651289</v>
      </c>
      <c r="I18" s="100">
        <f t="shared" si="18"/>
        <v>-1.2849175395573443E+18</v>
      </c>
      <c r="J18" s="132">
        <f t="shared" si="2"/>
        <v>4.4821847508856569</v>
      </c>
      <c r="K18" s="132">
        <f t="shared" si="3"/>
        <v>4.576949766493227</v>
      </c>
      <c r="L18" s="132">
        <f t="shared" si="4"/>
        <v>4.576949766493227</v>
      </c>
      <c r="M18" s="132">
        <f>IF(A18&lt;$E$6,"",calcfit(Jo_1,Jo_2,Rshunt,Jsc,D18))</f>
        <v>4.1614602024916136</v>
      </c>
      <c r="N18" s="100">
        <f t="shared" si="5"/>
        <v>9.9684755616112515E-3</v>
      </c>
      <c r="O18" s="100">
        <f t="shared" si="16"/>
        <v>4.0000286219467543E-5</v>
      </c>
      <c r="P18" s="103" t="str">
        <f t="shared" si="6"/>
        <v/>
      </c>
      <c r="Q18" s="103" t="str">
        <f t="shared" si="7"/>
        <v/>
      </c>
      <c r="R18" s="103" t="str">
        <f t="shared" si="8"/>
        <v/>
      </c>
      <c r="S18" s="103" t="str">
        <f t="shared" si="9"/>
        <v/>
      </c>
      <c r="T18" s="103" t="str">
        <f t="shared" si="10"/>
        <v/>
      </c>
      <c r="U18" s="97">
        <f t="shared" si="11"/>
        <v>-0.13986946671918465</v>
      </c>
      <c r="V18" s="103" t="str">
        <f t="shared" si="17"/>
        <v/>
      </c>
      <c r="W18" s="103" t="str">
        <f t="shared" si="12"/>
        <v/>
      </c>
      <c r="X18" s="132">
        <f t="shared" si="13"/>
        <v>-9.5264045964313676E-2</v>
      </c>
    </row>
    <row r="19" spans="1:24">
      <c r="A19" s="131">
        <v>1.0920000000000001E-3</v>
      </c>
      <c r="B19" s="131">
        <v>0.68271300000000001</v>
      </c>
      <c r="C19" s="131">
        <v>0.44894899999999999</v>
      </c>
      <c r="D19" s="132">
        <f t="shared" si="0"/>
        <v>0.67929950859999999</v>
      </c>
      <c r="E19" s="132">
        <f t="shared" si="14"/>
        <v>-17.240384615383952</v>
      </c>
      <c r="F19" s="100">
        <f t="shared" si="15"/>
        <v>2347643396890770</v>
      </c>
      <c r="G19" s="100">
        <f>IF(WaferType="p-type",n_intr_boltzmann(0,SampleDoping,F19,298.15),n_intr_boltzmann(SampleDoping,0,F19,298.15))</f>
        <v>8938326959.3455315</v>
      </c>
      <c r="H19" s="100">
        <f t="shared" si="1"/>
        <v>2347643396890770</v>
      </c>
      <c r="I19" s="100">
        <f t="shared" si="18"/>
        <v>-1.264912585350391E+18</v>
      </c>
      <c r="J19" s="132">
        <f t="shared" si="2"/>
        <v>4.1903571561183313</v>
      </c>
      <c r="K19" s="132">
        <f t="shared" si="3"/>
        <v>4.283646769811547</v>
      </c>
      <c r="L19" s="132">
        <f t="shared" si="4"/>
        <v>4.283646769811547</v>
      </c>
      <c r="M19" s="132">
        <f>IF(A19&lt;$E$6,"",calcfit(Jo_1,Jo_2,Rshunt,Jsc,D19))</f>
        <v>3.9288076027060064</v>
      </c>
      <c r="N19" s="100">
        <f t="shared" si="5"/>
        <v>8.157208803880751E-3</v>
      </c>
      <c r="O19" s="100">
        <f t="shared" si="16"/>
        <v>4.0419529922489828E-5</v>
      </c>
      <c r="P19" s="103" t="str">
        <f t="shared" si="6"/>
        <v/>
      </c>
      <c r="Q19" s="103" t="str">
        <f t="shared" si="7"/>
        <v/>
      </c>
      <c r="R19" s="103" t="str">
        <f t="shared" si="8"/>
        <v/>
      </c>
      <c r="S19" s="103" t="str">
        <f t="shared" si="9"/>
        <v/>
      </c>
      <c r="T19" s="103" t="str">
        <f t="shared" si="10"/>
        <v/>
      </c>
      <c r="U19" s="97">
        <f t="shared" si="11"/>
        <v>-0.12840043963994091</v>
      </c>
      <c r="V19" s="103" t="str">
        <f t="shared" si="17"/>
        <v/>
      </c>
      <c r="W19" s="103" t="str">
        <f t="shared" si="12"/>
        <v/>
      </c>
      <c r="X19" s="132">
        <f t="shared" si="13"/>
        <v>-8.7222355551435815E-2</v>
      </c>
    </row>
    <row r="20" spans="1:24">
      <c r="A20" s="131">
        <v>1.196E-3</v>
      </c>
      <c r="B20" s="131">
        <v>0.68091400000000002</v>
      </c>
      <c r="C20" s="131">
        <v>0.42087000000000002</v>
      </c>
      <c r="D20" s="132">
        <f t="shared" si="0"/>
        <v>0.6775005086</v>
      </c>
      <c r="E20" s="132">
        <f t="shared" si="14"/>
        <v>-17.298076923076888</v>
      </c>
      <c r="F20" s="100">
        <f t="shared" si="15"/>
        <v>2218773359968956</v>
      </c>
      <c r="G20" s="100">
        <f>IF(WaferType="p-type",n_intr_boltzmann(0,SampleDoping,F20,298.15),n_intr_boltzmann(SampleDoping,0,F20,298.15))</f>
        <v>8934701141.2175484</v>
      </c>
      <c r="H20" s="100">
        <f t="shared" si="1"/>
        <v>2218773359968956</v>
      </c>
      <c r="I20" s="100">
        <f t="shared" si="18"/>
        <v>-1.2094845937264763E+18</v>
      </c>
      <c r="J20" s="132">
        <f t="shared" si="2"/>
        <v>3.9282760765599707</v>
      </c>
      <c r="K20" s="132">
        <f t="shared" si="3"/>
        <v>4.0174777746246502</v>
      </c>
      <c r="L20" s="132">
        <f t="shared" si="4"/>
        <v>4.0174777746246502</v>
      </c>
      <c r="M20" s="132">
        <f>IF(A20&lt;$E$6,"",calcfit(Jo_1,Jo_2,Rshunt,Jsc,D20))</f>
        <v>3.7095512943748887</v>
      </c>
      <c r="N20" s="100">
        <f t="shared" si="5"/>
        <v>6.8905091566840715E-3</v>
      </c>
      <c r="O20" s="100">
        <f t="shared" si="16"/>
        <v>4.0731672295206681E-5</v>
      </c>
      <c r="P20" s="103" t="str">
        <f t="shared" si="6"/>
        <v/>
      </c>
      <c r="Q20" s="103" t="str">
        <f t="shared" si="7"/>
        <v/>
      </c>
      <c r="R20" s="103" t="str">
        <f t="shared" si="8"/>
        <v/>
      </c>
      <c r="S20" s="103" t="str">
        <f t="shared" si="9"/>
        <v/>
      </c>
      <c r="T20" s="103" t="str">
        <f t="shared" si="10"/>
        <v/>
      </c>
      <c r="U20" s="97">
        <f t="shared" si="11"/>
        <v>-0.11799243342114769</v>
      </c>
      <c r="V20" s="103" t="str">
        <f t="shared" si="17"/>
        <v/>
      </c>
      <c r="W20" s="103" t="str">
        <f t="shared" si="12"/>
        <v/>
      </c>
      <c r="X20" s="132">
        <f t="shared" si="13"/>
        <v>-7.9939933653779202E-2</v>
      </c>
    </row>
    <row r="21" spans="1:24">
      <c r="A21" s="131">
        <v>1.2999999999999999E-3</v>
      </c>
      <c r="B21" s="131">
        <v>0.67910300000000001</v>
      </c>
      <c r="C21" s="131">
        <v>0.39517000000000002</v>
      </c>
      <c r="D21" s="132">
        <f t="shared" si="0"/>
        <v>0.67568950859999999</v>
      </c>
      <c r="E21" s="132">
        <f t="shared" si="14"/>
        <v>-17.413461538461618</v>
      </c>
      <c r="F21" s="100">
        <f t="shared" si="15"/>
        <v>2095197520940498</v>
      </c>
      <c r="G21" s="100">
        <f>IF(WaferType="p-type",n_intr_boltzmann(0,SampleDoping,F21,298.15),n_intr_boltzmann(SampleDoping,0,F21,298.15))</f>
        <v>8931222160.1744366</v>
      </c>
      <c r="H21" s="100">
        <f t="shared" si="1"/>
        <v>2095197520940498</v>
      </c>
      <c r="I21" s="100">
        <f t="shared" si="18"/>
        <v>-1.1592654413486469E+18</v>
      </c>
      <c r="J21" s="132">
        <f t="shared" si="2"/>
        <v>3.6883998792363526</v>
      </c>
      <c r="K21" s="132">
        <f t="shared" si="3"/>
        <v>3.7738978230815015</v>
      </c>
      <c r="L21" s="132">
        <f t="shared" si="4"/>
        <v>3.7738978230815015</v>
      </c>
      <c r="M21" s="132">
        <f>IF(A21&lt;$E$6,"",calcfit(Jo_1,Jo_2,Rshunt,Jsc,D21))</f>
        <v>3.5022575971600709</v>
      </c>
      <c r="N21" s="100">
        <f t="shared" si="5"/>
        <v>6.01578067038748E-3</v>
      </c>
      <c r="O21" s="100">
        <f t="shared" si="16"/>
        <v>4.094563540350082E-5</v>
      </c>
      <c r="P21" s="103" t="str">
        <f t="shared" si="6"/>
        <v/>
      </c>
      <c r="Q21" s="103" t="str">
        <f t="shared" si="7"/>
        <v/>
      </c>
      <c r="R21" s="103" t="str">
        <f t="shared" si="8"/>
        <v/>
      </c>
      <c r="S21" s="103" t="str">
        <f t="shared" si="9"/>
        <v/>
      </c>
      <c r="T21" s="103" t="str">
        <f t="shared" si="10"/>
        <v/>
      </c>
      <c r="U21" s="97">
        <f t="shared" si="11"/>
        <v>-0.10846772657595595</v>
      </c>
      <c r="V21" s="103" t="str">
        <f t="shared" si="17"/>
        <v/>
      </c>
      <c r="W21" s="103" t="str">
        <f t="shared" si="12"/>
        <v/>
      </c>
      <c r="X21" s="132">
        <f t="shared" si="13"/>
        <v>-7.3290504869066839E-2</v>
      </c>
    </row>
    <row r="22" spans="1:24">
      <c r="A22" s="131">
        <v>1.4040000000000001E-3</v>
      </c>
      <c r="B22" s="131">
        <v>0.67731300000000005</v>
      </c>
      <c r="C22" s="131">
        <v>0.37144199999999999</v>
      </c>
      <c r="D22" s="132">
        <f t="shared" si="0"/>
        <v>0.67389950860000003</v>
      </c>
      <c r="E22" s="132">
        <f t="shared" si="14"/>
        <v>-17.211538461538037</v>
      </c>
      <c r="F22" s="100">
        <f t="shared" si="15"/>
        <v>1978902924571035</v>
      </c>
      <c r="G22" s="100">
        <f>IF(WaferType="p-type",n_intr_boltzmann(0,SampleDoping,F22,298.15),n_intr_boltzmann(SampleDoping,0,F22,298.15))</f>
        <v>8927947351.1612682</v>
      </c>
      <c r="H22" s="100">
        <f t="shared" si="1"/>
        <v>1978902924571035</v>
      </c>
      <c r="I22" s="100">
        <f t="shared" si="18"/>
        <v>-1.090951191683943E+18</v>
      </c>
      <c r="J22" s="132">
        <f t="shared" si="2"/>
        <v>3.4669297465478381</v>
      </c>
      <c r="K22" s="132">
        <f t="shared" si="3"/>
        <v>3.5473893896955548</v>
      </c>
      <c r="L22" s="132">
        <f t="shared" si="4"/>
        <v>3.5473893896955548</v>
      </c>
      <c r="M22" s="132">
        <f>IF(A22&lt;$E$6,"",calcfit(Jo_1,Jo_2,Rshunt,Jsc,D22))</f>
        <v>3.3097607696324012</v>
      </c>
      <c r="N22" s="100">
        <f t="shared" si="5"/>
        <v>5.1547105556869538E-3</v>
      </c>
      <c r="O22" s="100">
        <f t="shared" si="16"/>
        <v>4.1142285036088313E-5</v>
      </c>
      <c r="P22" s="103" t="str">
        <f t="shared" si="6"/>
        <v/>
      </c>
      <c r="Q22" s="103" t="str">
        <f t="shared" si="7"/>
        <v/>
      </c>
      <c r="R22" s="103" t="str">
        <f t="shared" si="8"/>
        <v/>
      </c>
      <c r="S22" s="103" t="str">
        <f t="shared" si="9"/>
        <v/>
      </c>
      <c r="T22" s="103" t="str">
        <f t="shared" si="10"/>
        <v/>
      </c>
      <c r="U22" s="97">
        <f t="shared" si="11"/>
        <v>-9.9610567305265282E-2</v>
      </c>
      <c r="V22" s="103" t="str">
        <f t="shared" si="17"/>
        <v/>
      </c>
      <c r="W22" s="103" t="str">
        <f t="shared" si="12"/>
        <v/>
      </c>
      <c r="X22" s="132">
        <f t="shared" si="13"/>
        <v>-6.7127512358385502E-2</v>
      </c>
    </row>
    <row r="23" spans="1:24">
      <c r="A23" s="131">
        <v>1.508E-3</v>
      </c>
      <c r="B23" s="131">
        <v>0.67552100000000004</v>
      </c>
      <c r="C23" s="131">
        <v>0.34938000000000002</v>
      </c>
      <c r="D23" s="132">
        <f t="shared" si="0"/>
        <v>0.67210750860000001</v>
      </c>
      <c r="E23" s="132">
        <f t="shared" si="14"/>
        <v>-17.230769230769393</v>
      </c>
      <c r="F23" s="100">
        <f t="shared" si="15"/>
        <v>1868089193656847</v>
      </c>
      <c r="G23" s="100">
        <f>IF(WaferType="p-type",n_intr_boltzmann(0,SampleDoping,F23,298.15),n_intr_boltzmann(SampleDoping,0,F23,298.15))</f>
        <v>8924827177.8952255</v>
      </c>
      <c r="H23" s="100">
        <f t="shared" si="1"/>
        <v>1868089193656847</v>
      </c>
      <c r="I23" s="100">
        <f t="shared" si="18"/>
        <v>-1.0391965127061021E+18</v>
      </c>
      <c r="J23" s="132">
        <f t="shared" si="2"/>
        <v>3.2610095650165674</v>
      </c>
      <c r="K23" s="132">
        <f t="shared" si="3"/>
        <v>3.3376522060531681</v>
      </c>
      <c r="L23" s="132">
        <f t="shared" si="4"/>
        <v>3.3376522060531681</v>
      </c>
      <c r="M23" s="132">
        <f>IF(A23&lt;$E$6,"",calcfit(Jo_1,Jo_2,Rshunt,Jsc,D23))</f>
        <v>3.1286066302170594</v>
      </c>
      <c r="N23" s="100">
        <f t="shared" si="5"/>
        <v>4.4645741340244372E-3</v>
      </c>
      <c r="O23" s="100">
        <f t="shared" si="16"/>
        <v>4.1279013458830224E-5</v>
      </c>
      <c r="P23" s="103" t="str">
        <f t="shared" si="6"/>
        <v/>
      </c>
      <c r="Q23" s="103" t="str">
        <f t="shared" si="7"/>
        <v/>
      </c>
      <c r="R23" s="103" t="str">
        <f t="shared" si="8"/>
        <v/>
      </c>
      <c r="S23" s="103" t="str">
        <f t="shared" si="9"/>
        <v/>
      </c>
      <c r="T23" s="103" t="str">
        <f t="shared" si="10"/>
        <v/>
      </c>
      <c r="U23" s="97">
        <f t="shared" si="11"/>
        <v>-9.1409214213297035E-2</v>
      </c>
      <c r="V23" s="103" t="str">
        <f t="shared" si="17"/>
        <v/>
      </c>
      <c r="W23" s="103" t="str">
        <f t="shared" si="12"/>
        <v/>
      </c>
      <c r="X23" s="132">
        <f t="shared" si="13"/>
        <v>-6.1436819227982782E-2</v>
      </c>
    </row>
    <row r="24" spans="1:24">
      <c r="A24" s="131">
        <v>1.6119999999999999E-3</v>
      </c>
      <c r="B24" s="131">
        <v>0.67369000000000001</v>
      </c>
      <c r="C24" s="131">
        <v>0.32866499999999998</v>
      </c>
      <c r="D24" s="132">
        <f t="shared" si="0"/>
        <v>0.67027650859999999</v>
      </c>
      <c r="E24" s="132">
        <f t="shared" si="14"/>
        <v>-17.605769230769504</v>
      </c>
      <c r="F24" s="100">
        <f t="shared" si="15"/>
        <v>1760445995318175</v>
      </c>
      <c r="G24" s="100">
        <f>IF(WaferType="p-type",n_intr_boltzmann(0,SampleDoping,F24,298.15),n_intr_boltzmann(SampleDoping,0,F24,298.15))</f>
        <v>8921797573.5384579</v>
      </c>
      <c r="H24" s="100">
        <f t="shared" si="1"/>
        <v>1760445995318175</v>
      </c>
      <c r="I24" s="100">
        <f t="shared" si="18"/>
        <v>-1.0085965026002863E+18</v>
      </c>
      <c r="J24" s="132">
        <f t="shared" si="2"/>
        <v>3.0676618830103894</v>
      </c>
      <c r="K24" s="132">
        <f t="shared" si="3"/>
        <v>3.1420477174068782</v>
      </c>
      <c r="L24" s="132">
        <f t="shared" si="4"/>
        <v>3.1420477174068782</v>
      </c>
      <c r="M24" s="132">
        <f>IF(A24&lt;$E$6,"",calcfit(Jo_1,Jo_2,Rshunt,Jsc,D24))</f>
        <v>2.9546948415971088</v>
      </c>
      <c r="N24" s="100">
        <f t="shared" si="5"/>
        <v>4.0206425053637713E-3</v>
      </c>
      <c r="O24" s="100">
        <f t="shared" si="16"/>
        <v>4.1322131141997667E-5</v>
      </c>
      <c r="P24" s="103" t="str">
        <f t="shared" si="6"/>
        <v/>
      </c>
      <c r="Q24" s="103" t="str">
        <f t="shared" si="7"/>
        <v/>
      </c>
      <c r="R24" s="103" t="str">
        <f t="shared" si="8"/>
        <v/>
      </c>
      <c r="S24" s="103" t="str">
        <f t="shared" si="9"/>
        <v/>
      </c>
      <c r="T24" s="103" t="str">
        <f t="shared" si="10"/>
        <v/>
      </c>
      <c r="U24" s="97">
        <f t="shared" si="11"/>
        <v>-8.3760491893761155E-2</v>
      </c>
      <c r="V24" s="103" t="str">
        <f>IF(P24="","",U24)</f>
        <v/>
      </c>
      <c r="W24" s="103" t="str">
        <f t="shared" si="12"/>
        <v/>
      </c>
      <c r="X24" s="132">
        <f t="shared" si="13"/>
        <v>-5.6142690065168831E-2</v>
      </c>
    </row>
    <row r="25" spans="1:24">
      <c r="A25" s="131">
        <v>1.7160000000000001E-3</v>
      </c>
      <c r="B25" s="131">
        <v>0.671875</v>
      </c>
      <c r="C25" s="131">
        <v>0.30940899999999999</v>
      </c>
      <c r="D25" s="132">
        <f t="shared" si="0"/>
        <v>0.66846150859999998</v>
      </c>
      <c r="E25" s="132">
        <f t="shared" si="14"/>
        <v>-17.451923076923162</v>
      </c>
      <c r="F25" s="100">
        <f t="shared" si="15"/>
        <v>1659099857837210</v>
      </c>
      <c r="G25" s="100">
        <f>IF(WaferType="p-type",n_intr_boltzmann(0,SampleDoping,F25,298.15),n_intr_boltzmann(SampleDoping,0,F25,298.15))</f>
        <v>8918947334.5111008</v>
      </c>
      <c r="H25" s="100">
        <f t="shared" si="1"/>
        <v>1659099857837210</v>
      </c>
      <c r="I25" s="100">
        <f t="shared" si="18"/>
        <v>-9.4951273848890829E+17</v>
      </c>
      <c r="J25" s="132">
        <f t="shared" si="2"/>
        <v>2.8879320753970203</v>
      </c>
      <c r="K25" s="132">
        <f t="shared" si="3"/>
        <v>2.9579603742662894</v>
      </c>
      <c r="L25" s="132">
        <f t="shared" si="4"/>
        <v>2.9579603742662894</v>
      </c>
      <c r="M25" s="132">
        <f>IF(A25&lt;$E$6,"",calcfit(Jo_1,Jo_2,Rshunt,Jsc,D25))</f>
        <v>2.792749001791595</v>
      </c>
      <c r="N25" s="100">
        <f t="shared" si="5"/>
        <v>3.4995811421552002E-3</v>
      </c>
      <c r="O25" s="100">
        <f t="shared" si="16"/>
        <v>4.1366897993901986E-5</v>
      </c>
      <c r="P25" s="103" t="str">
        <f t="shared" si="6"/>
        <v/>
      </c>
      <c r="Q25" s="103" t="str">
        <f t="shared" si="7"/>
        <v/>
      </c>
      <c r="R25" s="103" t="str">
        <f t="shared" si="8"/>
        <v/>
      </c>
      <c r="S25" s="103" t="str">
        <f t="shared" si="9"/>
        <v/>
      </c>
      <c r="T25" s="103" t="str">
        <f t="shared" si="10"/>
        <v/>
      </c>
      <c r="U25" s="97">
        <f t="shared" si="11"/>
        <v>-7.6562124514934715E-2</v>
      </c>
      <c r="V25" s="103" t="str">
        <f>IF(P25="","",U25)</f>
        <v/>
      </c>
      <c r="W25" s="103" t="str">
        <f t="shared" si="12"/>
        <v/>
      </c>
      <c r="X25" s="132">
        <f t="shared" si="13"/>
        <v>-5.1178833254874302E-2</v>
      </c>
    </row>
    <row r="26" spans="1:24">
      <c r="A26" s="131">
        <v>1.82E-3</v>
      </c>
      <c r="B26" s="131">
        <v>0.67008500000000004</v>
      </c>
      <c r="C26" s="131">
        <v>0.29138700000000001</v>
      </c>
      <c r="D26" s="132">
        <f t="shared" si="0"/>
        <v>0.66667150860000002</v>
      </c>
      <c r="E26" s="132">
        <f t="shared" si="14"/>
        <v>-17.211538461538073</v>
      </c>
      <c r="F26" s="100">
        <f t="shared" si="15"/>
        <v>1564170595352196</v>
      </c>
      <c r="G26" s="100">
        <f>IF(WaferType="p-type",n_intr_boltzmann(0,SampleDoping,F26,298.15),n_intr_boltzmann(SampleDoping,0,F26,298.15))</f>
        <v>8916280329.613266</v>
      </c>
      <c r="H26" s="100">
        <f t="shared" si="1"/>
        <v>1564170595352196</v>
      </c>
      <c r="I26" s="100">
        <f t="shared" si="18"/>
        <v>-8.894398258426176E+17</v>
      </c>
      <c r="J26" s="132">
        <f t="shared" si="2"/>
        <v>2.7197200587368551</v>
      </c>
      <c r="K26" s="132">
        <f t="shared" si="3"/>
        <v>2.7853178705676496</v>
      </c>
      <c r="L26" s="132">
        <f t="shared" si="4"/>
        <v>2.7853178705676496</v>
      </c>
      <c r="M26" s="132">
        <f>IF(A26&lt;$E$6,"",calcfit(Jo_1,Jo_2,Rshunt,Jsc,D26))</f>
        <v>2.6425724222139948</v>
      </c>
      <c r="N26" s="100">
        <f t="shared" si="5"/>
        <v>2.9179022658979616E-3</v>
      </c>
      <c r="O26" s="100">
        <f t="shared" si="16"/>
        <v>4.1417333289910197E-5</v>
      </c>
      <c r="P26" s="103" t="str">
        <f t="shared" si="6"/>
        <v/>
      </c>
      <c r="Q26" s="103" t="str">
        <f t="shared" si="7"/>
        <v/>
      </c>
      <c r="R26" s="103" t="str">
        <f t="shared" si="8"/>
        <v/>
      </c>
      <c r="S26" s="103" t="str">
        <f t="shared" si="9"/>
        <v/>
      </c>
      <c r="T26" s="103" t="str">
        <f t="shared" si="10"/>
        <v/>
      </c>
      <c r="U26" s="97">
        <f t="shared" si="11"/>
        <v>-6.9811284692806799E-2</v>
      </c>
      <c r="V26" s="103" t="str">
        <f t="shared" si="17"/>
        <v/>
      </c>
      <c r="W26" s="103" t="str">
        <f t="shared" si="12"/>
        <v/>
      </c>
      <c r="X26" s="132">
        <f t="shared" si="13"/>
        <v>-4.6541194483457594E-2</v>
      </c>
    </row>
    <row r="27" spans="1:24">
      <c r="A27" s="131">
        <v>1.9239999999999999E-3</v>
      </c>
      <c r="B27" s="131">
        <v>0.66823999999999995</v>
      </c>
      <c r="C27" s="131">
        <v>0.27439599999999997</v>
      </c>
      <c r="D27" s="132">
        <f t="shared" si="0"/>
        <v>0.66482650859999992</v>
      </c>
      <c r="E27" s="132">
        <f t="shared" si="14"/>
        <v>-17.740384615385555</v>
      </c>
      <c r="F27" s="100">
        <f t="shared" si="15"/>
        <v>1471336575041595</v>
      </c>
      <c r="G27" s="100">
        <f>IF(WaferType="p-type",n_intr_boltzmann(0,SampleDoping,F27,298.15),n_intr_boltzmann(SampleDoping,0,F27,298.15))</f>
        <v>8913675644.5055237</v>
      </c>
      <c r="H27" s="100">
        <f t="shared" si="1"/>
        <v>1471336575041595</v>
      </c>
      <c r="I27" s="100">
        <f t="shared" si="18"/>
        <v>-8.6883378965811635E+17</v>
      </c>
      <c r="J27" s="132">
        <f t="shared" si="2"/>
        <v>2.5611310910821623</v>
      </c>
      <c r="K27" s="132">
        <f t="shared" si="3"/>
        <v>2.6252091701048053</v>
      </c>
      <c r="L27" s="132">
        <f t="shared" si="4"/>
        <v>2.6252091701048053</v>
      </c>
      <c r="M27" s="132">
        <f>IF(A27&lt;$E$6,"",calcfit(Jo_1,Jo_2,Rshunt,Jsc,D27))</f>
        <v>2.497064395853017</v>
      </c>
      <c r="N27" s="100">
        <f t="shared" si="5"/>
        <v>2.6335545345174717E-3</v>
      </c>
      <c r="O27" s="100">
        <f t="shared" si="16"/>
        <v>4.1335281480928934E-5</v>
      </c>
      <c r="P27" s="103" t="str">
        <f t="shared" si="6"/>
        <v/>
      </c>
      <c r="Q27" s="103" t="str">
        <f t="shared" si="7"/>
        <v/>
      </c>
      <c r="R27" s="103" t="str">
        <f t="shared" si="8"/>
        <v/>
      </c>
      <c r="S27" s="103" t="str">
        <f t="shared" si="9"/>
        <v/>
      </c>
      <c r="T27" s="103" t="str">
        <f t="shared" si="10"/>
        <v/>
      </c>
      <c r="U27" s="97">
        <f t="shared" si="11"/>
        <v>-6.3550554178608193E-2</v>
      </c>
      <c r="V27" s="103" t="str">
        <f t="shared" si="17"/>
        <v/>
      </c>
      <c r="W27" s="103" t="str">
        <f t="shared" si="12"/>
        <v/>
      </c>
      <c r="X27" s="132">
        <f t="shared" si="13"/>
        <v>-4.2250093054159221E-2</v>
      </c>
    </row>
    <row r="28" spans="1:24">
      <c r="A28" s="131">
        <v>2.0279999999999999E-3</v>
      </c>
      <c r="B28" s="131">
        <v>0.66643300000000005</v>
      </c>
      <c r="C28" s="131">
        <v>0.258604</v>
      </c>
      <c r="D28" s="132">
        <f t="shared" si="0"/>
        <v>0.66301950860000003</v>
      </c>
      <c r="E28" s="132">
        <f t="shared" si="14"/>
        <v>-17.374999999998973</v>
      </c>
      <c r="F28" s="100">
        <f t="shared" si="15"/>
        <v>1385148261544841</v>
      </c>
      <c r="G28" s="100">
        <f>IF(WaferType="p-type",n_intr_boltzmann(0,SampleDoping,F28,298.15),n_intr_boltzmann(SampleDoping,0,F28,298.15))</f>
        <v>8911261270.8184528</v>
      </c>
      <c r="H28" s="100">
        <f t="shared" si="1"/>
        <v>1385148261544841</v>
      </c>
      <c r="I28" s="100">
        <f t="shared" si="18"/>
        <v>-8.0683433418423757E+17</v>
      </c>
      <c r="J28" s="132">
        <f t="shared" si="2"/>
        <v>2.4137332347345133</v>
      </c>
      <c r="K28" s="132">
        <f t="shared" si="3"/>
        <v>2.4732387406660714</v>
      </c>
      <c r="L28" s="132">
        <f t="shared" si="4"/>
        <v>2.4732387406660714</v>
      </c>
      <c r="M28" s="132">
        <f>IF(A28&lt;$E$6,"",calcfit(Jo_1,Jo_2,Rshunt,Jsc,D28))</f>
        <v>2.3631086194327304</v>
      </c>
      <c r="N28" s="100">
        <f t="shared" si="5"/>
        <v>2.1719252087729472E-3</v>
      </c>
      <c r="O28" s="100">
        <f t="shared" si="16"/>
        <v>4.1305035684015684E-5</v>
      </c>
      <c r="P28" s="103" t="str">
        <f t="shared" si="6"/>
        <v/>
      </c>
      <c r="Q28" s="103" t="str">
        <f t="shared" si="7"/>
        <v/>
      </c>
      <c r="R28" s="103" t="str">
        <f t="shared" si="8"/>
        <v/>
      </c>
      <c r="S28" s="103" t="str">
        <f t="shared" si="9"/>
        <v/>
      </c>
      <c r="T28" s="103" t="str">
        <f t="shared" si="10"/>
        <v/>
      </c>
      <c r="U28" s="97">
        <f t="shared" si="11"/>
        <v>-5.7608054476265387E-2</v>
      </c>
      <c r="V28" s="103" t="str">
        <f t="shared" si="17"/>
        <v/>
      </c>
      <c r="W28" s="103" t="str">
        <f t="shared" si="12"/>
        <v/>
      </c>
      <c r="X28" s="132">
        <f t="shared" si="13"/>
        <v>-3.8195263970255508E-2</v>
      </c>
    </row>
    <row r="29" spans="1:24">
      <c r="A29" s="131">
        <v>2.1320000000000002E-3</v>
      </c>
      <c r="B29" s="131">
        <v>0.66461800000000004</v>
      </c>
      <c r="C29" s="131">
        <v>0.24382499999999999</v>
      </c>
      <c r="D29" s="132">
        <f t="shared" si="0"/>
        <v>0.66120450860000002</v>
      </c>
      <c r="E29" s="132">
        <f t="shared" si="14"/>
        <v>-17.451923076923123</v>
      </c>
      <c r="F29" s="100">
        <f t="shared" si="15"/>
        <v>1303100165282483</v>
      </c>
      <c r="G29" s="100">
        <f>IF(WaferType="p-type",n_intr_boltzmann(0,SampleDoping,F29,298.15),n_intr_boltzmann(SampleDoping,0,F29,298.15))</f>
        <v>8908967053.377964</v>
      </c>
      <c r="H29" s="100">
        <f t="shared" si="1"/>
        <v>1303100165282483</v>
      </c>
      <c r="I29" s="100">
        <f t="shared" si="18"/>
        <v>-7.677444361634135E+17</v>
      </c>
      <c r="J29" s="132">
        <f t="shared" si="2"/>
        <v>2.2757904207171689</v>
      </c>
      <c r="K29" s="132">
        <f t="shared" si="3"/>
        <v>2.3324129752670237</v>
      </c>
      <c r="L29" s="132">
        <f t="shared" si="4"/>
        <v>2.3324129752670237</v>
      </c>
      <c r="M29" s="132">
        <f>IF(A29&lt;$E$6,"",calcfit(Jo_1,Jo_2,Rshunt,Jsc,D29))</f>
        <v>2.2365410486237045</v>
      </c>
      <c r="N29" s="100">
        <f t="shared" si="5"/>
        <v>1.8375076810592677E-3</v>
      </c>
      <c r="O29" s="100">
        <f t="shared" si="16"/>
        <v>4.1204545887365164E-5</v>
      </c>
      <c r="P29" s="103" t="str">
        <f t="shared" si="6"/>
        <v/>
      </c>
      <c r="Q29" s="103" t="str">
        <f t="shared" si="7"/>
        <v/>
      </c>
      <c r="R29" s="103" t="str">
        <f t="shared" si="8"/>
        <v/>
      </c>
      <c r="S29" s="103" t="str">
        <f t="shared" si="9"/>
        <v/>
      </c>
      <c r="T29" s="103" t="str">
        <f t="shared" si="10"/>
        <v/>
      </c>
      <c r="U29" s="97">
        <f t="shared" si="11"/>
        <v>-5.210134457186643E-2</v>
      </c>
      <c r="V29" s="103" t="str">
        <f t="shared" si="17"/>
        <v/>
      </c>
      <c r="W29" s="103" t="str">
        <f t="shared" si="12"/>
        <v/>
      </c>
      <c r="X29" s="132">
        <f t="shared" si="13"/>
        <v>-3.4449643935040221E-2</v>
      </c>
    </row>
    <row r="30" spans="1:24">
      <c r="A30" s="131">
        <v>2.2360000000000001E-3</v>
      </c>
      <c r="B30" s="131">
        <v>0.66280499999999998</v>
      </c>
      <c r="C30" s="131">
        <v>0.22998499999999999</v>
      </c>
      <c r="D30" s="132">
        <f t="shared" si="0"/>
        <v>0.65939150859999995</v>
      </c>
      <c r="E30" s="132">
        <f t="shared" si="14"/>
        <v>-17.432692307692939</v>
      </c>
      <c r="F30" s="100">
        <f t="shared" si="15"/>
        <v>1225478486639696</v>
      </c>
      <c r="G30" s="100">
        <f>IF(WaferType="p-type",n_intr_boltzmann(0,SampleDoping,F30,298.15),n_intr_boltzmann(SampleDoping,0,F30,298.15))</f>
        <v>8906801028.4324532</v>
      </c>
      <c r="H30" s="100">
        <f t="shared" si="1"/>
        <v>1225478486639696</v>
      </c>
      <c r="I30" s="100">
        <f t="shared" si="18"/>
        <v>-7.2612078359636851E+17</v>
      </c>
      <c r="J30" s="132">
        <f t="shared" si="2"/>
        <v>2.1466119549211036</v>
      </c>
      <c r="K30" s="132">
        <f t="shared" si="3"/>
        <v>2.2001646890632465</v>
      </c>
      <c r="L30" s="132">
        <f t="shared" si="4"/>
        <v>2.2001646890632465</v>
      </c>
      <c r="M30" s="132">
        <f>IF(A30&lt;$E$6,"",calcfit(Jo_1,Jo_2,Rshunt,Jsc,D30))</f>
        <v>2.1175954898358049</v>
      </c>
      <c r="N30" s="100">
        <f t="shared" si="5"/>
        <v>1.5203729664276285E-3</v>
      </c>
      <c r="O30" s="100">
        <f t="shared" si="16"/>
        <v>4.1079323439368934E-5</v>
      </c>
      <c r="P30" s="103" t="str">
        <f t="shared" si="6"/>
        <v/>
      </c>
      <c r="Q30" s="103" t="str">
        <f t="shared" si="7"/>
        <v/>
      </c>
      <c r="R30" s="103" t="str">
        <f t="shared" si="8"/>
        <v/>
      </c>
      <c r="S30" s="103" t="str">
        <f t="shared" si="9"/>
        <v/>
      </c>
      <c r="T30" s="103" t="str">
        <f t="shared" si="10"/>
        <v/>
      </c>
      <c r="U30" s="97">
        <f t="shared" si="11"/>
        <v>-4.6930039836440125E-2</v>
      </c>
      <c r="V30" s="103" t="str">
        <f t="shared" si="17"/>
        <v/>
      </c>
      <c r="W30" s="103" t="str">
        <f t="shared" si="12"/>
        <v/>
      </c>
      <c r="X30" s="132">
        <f t="shared" si="13"/>
        <v>-3.0945269766408351E-2</v>
      </c>
    </row>
    <row r="31" spans="1:24">
      <c r="A31" s="131">
        <v>2.3400000000000001E-3</v>
      </c>
      <c r="B31" s="131">
        <v>0.66098500000000004</v>
      </c>
      <c r="C31" s="131">
        <v>0.216921</v>
      </c>
      <c r="D31" s="132">
        <f t="shared" si="0"/>
        <v>0.65757150860000002</v>
      </c>
      <c r="E31" s="132">
        <f t="shared" si="14"/>
        <v>-17.499999999999368</v>
      </c>
      <c r="F31" s="100">
        <f t="shared" si="15"/>
        <v>1151730641550912</v>
      </c>
      <c r="G31" s="100">
        <f>IF(WaferType="p-type",n_intr_boltzmann(0,SampleDoping,F31,298.15),n_intr_boltzmann(SampleDoping,0,F31,298.15))</f>
        <v>8904747703.5505085</v>
      </c>
      <c r="H31" s="100">
        <f t="shared" si="1"/>
        <v>1151730641550912</v>
      </c>
      <c r="I31" s="100">
        <f t="shared" si="18"/>
        <v>-6.895941886530839E+17</v>
      </c>
      <c r="J31" s="132">
        <f t="shared" si="2"/>
        <v>2.0246764435656268</v>
      </c>
      <c r="K31" s="132">
        <f t="shared" si="3"/>
        <v>2.0755352746102336</v>
      </c>
      <c r="L31" s="132">
        <f t="shared" si="4"/>
        <v>2.0755352746102336</v>
      </c>
      <c r="M31" s="132">
        <f>IF(A31&lt;$E$6,"",calcfit(Jo_1,Jo_2,Rshunt,Jsc,D31))</f>
        <v>2.0052386293462034</v>
      </c>
      <c r="N31" s="100">
        <f t="shared" si="5"/>
        <v>1.2289580962487534E-3</v>
      </c>
      <c r="O31" s="100">
        <f t="shared" si="16"/>
        <v>4.0925461318766491E-5</v>
      </c>
      <c r="P31" s="103" t="str">
        <f t="shared" si="6"/>
        <v/>
      </c>
      <c r="Q31" s="103" t="str">
        <f t="shared" si="7"/>
        <v/>
      </c>
      <c r="R31" s="103" t="str">
        <f t="shared" si="8"/>
        <v/>
      </c>
      <c r="S31" s="103" t="str">
        <f t="shared" si="9"/>
        <v/>
      </c>
      <c r="T31" s="103" t="str">
        <f t="shared" si="10"/>
        <v/>
      </c>
      <c r="U31" s="97">
        <f t="shared" si="11"/>
        <v>-4.2056655843083962E-2</v>
      </c>
      <c r="V31" s="103" t="str">
        <f t="shared" si="17"/>
        <v/>
      </c>
      <c r="W31" s="103" t="str">
        <f t="shared" si="12"/>
        <v/>
      </c>
      <c r="X31" s="132">
        <f t="shared" si="13"/>
        <v>-2.7655258629407726E-2</v>
      </c>
    </row>
    <row r="32" spans="1:24">
      <c r="A32" s="131">
        <v>2.444E-3</v>
      </c>
      <c r="B32" s="131">
        <v>0.65915199999999996</v>
      </c>
      <c r="C32" s="131">
        <v>0.204708</v>
      </c>
      <c r="D32" s="132">
        <f t="shared" si="0"/>
        <v>0.65573850859999994</v>
      </c>
      <c r="E32" s="132">
        <f t="shared" si="14"/>
        <v>-17.625000000000828</v>
      </c>
      <c r="F32" s="100">
        <f t="shared" si="15"/>
        <v>1081498955208384</v>
      </c>
      <c r="G32" s="100">
        <f>IF(WaferType="p-type",n_intr_boltzmann(0,SampleDoping,F32,298.15),n_intr_boltzmann(SampleDoping,0,F32,298.15))</f>
        <v>8902797016.8693161</v>
      </c>
      <c r="H32" s="100">
        <f t="shared" si="1"/>
        <v>1081498955208384</v>
      </c>
      <c r="I32" s="100">
        <f t="shared" si="18"/>
        <v>-6.5637891381808653E+17</v>
      </c>
      <c r="J32" s="132">
        <f t="shared" si="2"/>
        <v>1.91068391446394</v>
      </c>
      <c r="K32" s="132">
        <f t="shared" si="3"/>
        <v>1.9590930583175443</v>
      </c>
      <c r="L32" s="132">
        <f t="shared" si="4"/>
        <v>1.9590930583175443</v>
      </c>
      <c r="M32" s="132">
        <f>IF(A32&lt;$E$6,"",calcfit(Jo_1,Jo_2,Rshunt,Jsc,D32))</f>
        <v>1.8987666826600409</v>
      </c>
      <c r="N32" s="100">
        <f t="shared" si="5"/>
        <v>1.0094185072841862E-3</v>
      </c>
      <c r="O32" s="100">
        <f t="shared" si="16"/>
        <v>4.0714004423267217E-5</v>
      </c>
      <c r="P32" s="103" t="str">
        <f t="shared" si="6"/>
        <v/>
      </c>
      <c r="Q32" s="103" t="str">
        <f t="shared" si="7"/>
        <v/>
      </c>
      <c r="R32" s="103" t="str">
        <f t="shared" si="8"/>
        <v/>
      </c>
      <c r="S32" s="103" t="str">
        <f t="shared" si="9"/>
        <v/>
      </c>
      <c r="T32" s="103" t="str">
        <f t="shared" si="10"/>
        <v/>
      </c>
      <c r="U32" s="97">
        <f t="shared" si="11"/>
        <v>-3.7503415859390932E-2</v>
      </c>
      <c r="V32" s="103" t="str">
        <f t="shared" si="17"/>
        <v/>
      </c>
      <c r="W32" s="103" t="str">
        <f t="shared" si="12"/>
        <v/>
      </c>
      <c r="X32" s="132">
        <f t="shared" si="13"/>
        <v>-2.4592433983042596E-2</v>
      </c>
    </row>
    <row r="33" spans="1:24">
      <c r="A33" s="131">
        <v>2.5479999999999999E-3</v>
      </c>
      <c r="B33" s="131">
        <v>0.65730999999999995</v>
      </c>
      <c r="C33" s="131">
        <v>0.193352</v>
      </c>
      <c r="D33" s="132">
        <f t="shared" si="0"/>
        <v>0.65389650859999993</v>
      </c>
      <c r="E33" s="132">
        <f t="shared" si="14"/>
        <v>-17.711538461538574</v>
      </c>
      <c r="F33" s="100">
        <f t="shared" si="15"/>
        <v>1014827900095669</v>
      </c>
      <c r="G33" s="100">
        <f>IF(WaferType="p-type",n_intr_boltzmann(0,SampleDoping,F33,298.15),n_intr_boltzmann(SampleDoping,0,F33,298.15))</f>
        <v>8900950030.4287376</v>
      </c>
      <c r="H33" s="100">
        <f t="shared" si="1"/>
        <v>1014827900095669</v>
      </c>
      <c r="I33" s="100">
        <f t="shared" si="18"/>
        <v>-6.2281982673998605E+17</v>
      </c>
      <c r="J33" s="132">
        <f t="shared" si="2"/>
        <v>1.8046903698410992</v>
      </c>
      <c r="K33" s="132">
        <f t="shared" si="3"/>
        <v>1.8506244697227552</v>
      </c>
      <c r="L33" s="132">
        <f t="shared" si="4"/>
        <v>1.8506244697227552</v>
      </c>
      <c r="M33" s="132">
        <f>IF(A33&lt;$E$6,"",calcfit(Jo_1,Jo_2,Rshunt,Jsc,D33))</f>
        <v>1.7981054920609538</v>
      </c>
      <c r="N33" s="100">
        <f t="shared" si="5"/>
        <v>8.53104419709184E-4</v>
      </c>
      <c r="O33" s="100">
        <f t="shared" si="16"/>
        <v>4.0443327411220083E-5</v>
      </c>
      <c r="P33" s="103" t="str">
        <f t="shared" si="6"/>
        <v/>
      </c>
      <c r="Q33" s="103" t="str">
        <f t="shared" si="7"/>
        <v/>
      </c>
      <c r="R33" s="103" t="str">
        <f t="shared" si="8"/>
        <v/>
      </c>
      <c r="S33" s="103" t="str">
        <f t="shared" si="9"/>
        <v/>
      </c>
      <c r="T33" s="103" t="str">
        <f t="shared" si="10"/>
        <v/>
      </c>
      <c r="U33" s="97">
        <f t="shared" si="11"/>
        <v>-3.3261968639568894E-2</v>
      </c>
      <c r="V33" s="103" t="str">
        <f t="shared" si="17"/>
        <v/>
      </c>
      <c r="W33" s="103" t="str">
        <f t="shared" si="12"/>
        <v/>
      </c>
      <c r="X33" s="132">
        <f t="shared" si="13"/>
        <v>-2.1749885162576789E-2</v>
      </c>
    </row>
    <row r="34" spans="1:24">
      <c r="A34" s="131">
        <v>2.6519999999999998E-3</v>
      </c>
      <c r="B34" s="131">
        <v>0.65551599999999999</v>
      </c>
      <c r="C34" s="131">
        <v>0.18265799999999999</v>
      </c>
      <c r="D34" s="132">
        <f t="shared" si="0"/>
        <v>0.65210250859999996</v>
      </c>
      <c r="E34" s="132">
        <f t="shared" si="14"/>
        <v>-17.249999999999648</v>
      </c>
      <c r="F34" s="100">
        <f t="shared" si="15"/>
        <v>953487807539555</v>
      </c>
      <c r="G34" s="100">
        <f>IF(WaferType="p-type",n_intr_boltzmann(0,SampleDoping,F34,298.15),n_intr_boltzmann(SampleDoping,0,F34,298.15))</f>
        <v>8899255314.283268</v>
      </c>
      <c r="H34" s="100">
        <f t="shared" si="1"/>
        <v>953487807539555</v>
      </c>
      <c r="I34" s="100">
        <f t="shared" si="18"/>
        <v>-5.7328403444011744E+17</v>
      </c>
      <c r="J34" s="132">
        <f t="shared" si="2"/>
        <v>1.704875737382781</v>
      </c>
      <c r="K34" s="132">
        <f t="shared" si="3"/>
        <v>1.7471564820989003</v>
      </c>
      <c r="L34" s="132">
        <f t="shared" si="4"/>
        <v>1.7471564820989003</v>
      </c>
      <c r="M34" s="132">
        <f>IF(A34&lt;$E$6,"",calcfit(Jo_1,Jo_2,Rshunt,Jsc,D34))</f>
        <v>1.705787467268179</v>
      </c>
      <c r="N34" s="100">
        <f t="shared" si="5"/>
        <v>5.8816681677054269E-4</v>
      </c>
      <c r="O34" s="100">
        <f t="shared" si="16"/>
        <v>4.0249095140147097E-5</v>
      </c>
      <c r="P34" s="103" t="str">
        <f t="shared" si="6"/>
        <v/>
      </c>
      <c r="Q34" s="103" t="str">
        <f t="shared" si="7"/>
        <v/>
      </c>
      <c r="R34" s="103" t="str">
        <f t="shared" si="8"/>
        <v/>
      </c>
      <c r="S34" s="103" t="str">
        <f t="shared" si="9"/>
        <v/>
      </c>
      <c r="T34" s="103" t="str">
        <f t="shared" si="10"/>
        <v/>
      </c>
      <c r="U34" s="97">
        <f t="shared" si="11"/>
        <v>-2.9216059919513298E-2</v>
      </c>
      <c r="V34" s="103" t="str">
        <f t="shared" si="17"/>
        <v/>
      </c>
      <c r="W34" s="103" t="str">
        <f t="shared" si="12"/>
        <v/>
      </c>
      <c r="X34" s="132">
        <f t="shared" si="13"/>
        <v>-1.9051865964922535E-2</v>
      </c>
    </row>
    <row r="35" spans="1:24">
      <c r="A35" s="131">
        <v>2.7560000000000002E-3</v>
      </c>
      <c r="B35" s="131">
        <v>0.65368700000000002</v>
      </c>
      <c r="C35" s="131">
        <v>0.17261399999999999</v>
      </c>
      <c r="D35" s="132">
        <f t="shared" si="0"/>
        <v>0.65027350859999999</v>
      </c>
      <c r="E35" s="132">
        <f t="shared" si="14"/>
        <v>-17.586538461538105</v>
      </c>
      <c r="F35" s="100">
        <f t="shared" si="15"/>
        <v>894434066303899</v>
      </c>
      <c r="G35" s="100">
        <f>IF(WaferType="p-type",n_intr_boltzmann(0,SampleDoping,F35,298.15),n_intr_boltzmann(SampleDoping,0,F35,298.15))</f>
        <v>8897628332.1117992</v>
      </c>
      <c r="H35" s="100">
        <f t="shared" si="1"/>
        <v>894434066303899</v>
      </c>
      <c r="I35" s="100">
        <f t="shared" si="18"/>
        <v>-5.5144482647841312E+17</v>
      </c>
      <c r="J35" s="132">
        <f t="shared" si="2"/>
        <v>1.6111280126388736</v>
      </c>
      <c r="K35" s="132">
        <f t="shared" si="3"/>
        <v>1.651798075875728</v>
      </c>
      <c r="L35" s="132">
        <f t="shared" si="4"/>
        <v>1.651798075875728</v>
      </c>
      <c r="M35" s="132">
        <f>IF(A35&lt;$E$6,"",calcfit(Jo_1,Jo_2,Rshunt,Jsc,D35))</f>
        <v>1.6171158457273542</v>
      </c>
      <c r="N35" s="100">
        <f t="shared" si="5"/>
        <v>4.5997239270021388E-4</v>
      </c>
      <c r="O35" s="100">
        <f t="shared" si="16"/>
        <v>3.993596260393742E-5</v>
      </c>
      <c r="P35" s="103" t="str">
        <f t="shared" si="6"/>
        <v/>
      </c>
      <c r="Q35" s="103" t="str">
        <f t="shared" si="7"/>
        <v/>
      </c>
      <c r="R35" s="103" t="str">
        <f t="shared" si="8"/>
        <v/>
      </c>
      <c r="S35" s="103" t="str">
        <f t="shared" si="9"/>
        <v/>
      </c>
      <c r="T35" s="103" t="str">
        <f t="shared" si="10"/>
        <v/>
      </c>
      <c r="U35" s="97">
        <f t="shared" si="11"/>
        <v>-2.5487260160968594E-2</v>
      </c>
      <c r="V35" s="103" t="str">
        <f t="shared" si="17"/>
        <v/>
      </c>
      <c r="W35" s="103" t="str">
        <f t="shared" si="12"/>
        <v/>
      </c>
      <c r="X35" s="132">
        <f t="shared" si="13"/>
        <v>-1.6573690089474048E-2</v>
      </c>
    </row>
    <row r="36" spans="1:24">
      <c r="A36" s="131">
        <v>2.8600000000000001E-3</v>
      </c>
      <c r="B36" s="131">
        <v>0.65183999999999997</v>
      </c>
      <c r="C36" s="131">
        <v>0.163184</v>
      </c>
      <c r="D36" s="132">
        <f t="shared" si="0"/>
        <v>0.64842650859999995</v>
      </c>
      <c r="E36" s="132">
        <f t="shared" si="14"/>
        <v>-17.75961538461581</v>
      </c>
      <c r="F36" s="100">
        <f t="shared" si="15"/>
        <v>838201039706177.5</v>
      </c>
      <c r="G36" s="100">
        <f>IF(WaferType="p-type",n_intr_boltzmann(0,SampleDoping,F36,298.15),n_intr_boltzmann(SampleDoping,0,F36,298.15))</f>
        <v>8896083604.2698383</v>
      </c>
      <c r="H36" s="100">
        <f t="shared" si="1"/>
        <v>838201039706177.5</v>
      </c>
      <c r="I36" s="100">
        <f t="shared" si="18"/>
        <v>-5.2479670062286048E+17</v>
      </c>
      <c r="J36" s="132">
        <f t="shared" si="2"/>
        <v>1.5231111822590402</v>
      </c>
      <c r="K36" s="132">
        <f t="shared" si="3"/>
        <v>1.5618158975378584</v>
      </c>
      <c r="L36" s="132">
        <f t="shared" si="4"/>
        <v>1.5618158975378584</v>
      </c>
      <c r="M36" s="132">
        <f>IF(A36&lt;$E$6,"",calcfit(Jo_1,Jo_2,Rshunt,Jsc,D36))</f>
        <v>1.5328048658633324</v>
      </c>
      <c r="N36" s="100">
        <f t="shared" si="5"/>
        <v>3.5822228982144934E-4</v>
      </c>
      <c r="O36" s="100">
        <f t="shared" si="16"/>
        <v>3.9581398714490527E-5</v>
      </c>
      <c r="P36" s="103" t="str">
        <f t="shared" si="6"/>
        <v/>
      </c>
      <c r="Q36" s="103" t="str">
        <f t="shared" si="7"/>
        <v/>
      </c>
      <c r="R36" s="103" t="str">
        <f t="shared" si="8"/>
        <v/>
      </c>
      <c r="S36" s="103" t="str">
        <f t="shared" si="9"/>
        <v/>
      </c>
      <c r="T36" s="103" t="str">
        <f t="shared" si="10"/>
        <v/>
      </c>
      <c r="U36" s="97">
        <f t="shared" si="11"/>
        <v>-2.1968687041422876E-2</v>
      </c>
      <c r="V36" s="103" t="str">
        <f t="shared" si="17"/>
        <v/>
      </c>
      <c r="W36" s="103" t="str">
        <f t="shared" si="12"/>
        <v/>
      </c>
      <c r="X36" s="132">
        <f t="shared" si="13"/>
        <v>-1.4245079036795899E-2</v>
      </c>
    </row>
    <row r="37" spans="1:24">
      <c r="A37" s="131">
        <v>2.9640000000000001E-3</v>
      </c>
      <c r="B37" s="131">
        <v>0.64999799999999996</v>
      </c>
      <c r="C37" s="131">
        <v>0.154254</v>
      </c>
      <c r="D37" s="132">
        <f t="shared" si="0"/>
        <v>0.64658450859999994</v>
      </c>
      <c r="E37" s="132">
        <f t="shared" si="14"/>
        <v>-17.711538461538574</v>
      </c>
      <c r="F37" s="100">
        <f t="shared" si="15"/>
        <v>785361432937279</v>
      </c>
      <c r="G37" s="100">
        <f>IF(WaferType="p-type",n_intr_boltzmann(0,SampleDoping,F37,298.15),n_intr_boltzmann(SampleDoping,0,F37,298.15))</f>
        <v>8894636469.2397118</v>
      </c>
      <c r="H37" s="100">
        <f t="shared" si="1"/>
        <v>785361432937279</v>
      </c>
      <c r="I37" s="100">
        <f t="shared" si="18"/>
        <v>-4.9302409307509722E+17</v>
      </c>
      <c r="J37" s="132">
        <f t="shared" si="2"/>
        <v>1.4397612039672147</v>
      </c>
      <c r="K37" s="132">
        <f t="shared" si="3"/>
        <v>1.476122631402679</v>
      </c>
      <c r="L37" s="132">
        <f t="shared" si="4"/>
        <v>1.476122631402679</v>
      </c>
      <c r="M37" s="132">
        <f>IF(A37&lt;$E$6,"",calcfit(Jo_1,Jo_2,Rshunt,Jsc,D37))</f>
        <v>1.453631044348374</v>
      </c>
      <c r="N37" s="100">
        <f t="shared" si="5"/>
        <v>2.3940423228771538E-4</v>
      </c>
      <c r="O37" s="100">
        <f t="shared" si="16"/>
        <v>3.9239179055585153E-5</v>
      </c>
      <c r="P37" s="103" t="str">
        <f t="shared" si="6"/>
        <v/>
      </c>
      <c r="Q37" s="103" t="str">
        <f t="shared" si="7"/>
        <v/>
      </c>
      <c r="R37" s="103" t="str">
        <f t="shared" si="8"/>
        <v/>
      </c>
      <c r="S37" s="103" t="str">
        <f t="shared" si="9"/>
        <v/>
      </c>
      <c r="T37" s="103" t="str">
        <f t="shared" si="10"/>
        <v/>
      </c>
      <c r="U37" s="97">
        <f t="shared" si="11"/>
        <v>-1.8617823255738956E-2</v>
      </c>
      <c r="V37" s="103" t="str">
        <f t="shared" si="17"/>
        <v/>
      </c>
      <c r="W37" s="103" t="str">
        <f t="shared" si="12"/>
        <v/>
      </c>
      <c r="X37" s="132">
        <f t="shared" si="13"/>
        <v>-1.2037996101013625E-2</v>
      </c>
    </row>
    <row r="38" spans="1:24">
      <c r="A38" s="131">
        <v>3.068E-3</v>
      </c>
      <c r="B38" s="131">
        <v>0.64818699999999996</v>
      </c>
      <c r="C38" s="131">
        <v>0.14587800000000001</v>
      </c>
      <c r="D38" s="132">
        <f t="shared" si="0"/>
        <v>0.64477350859999993</v>
      </c>
      <c r="E38" s="132">
        <f t="shared" si="14"/>
        <v>-17.413461538461618</v>
      </c>
      <c r="F38" s="100">
        <f t="shared" si="15"/>
        <v>736412926918145.5</v>
      </c>
      <c r="G38" s="100">
        <f>IF(WaferType="p-type",n_intr_boltzmann(0,SampleDoping,F38,298.15),n_intr_boltzmann(SampleDoping,0,F38,298.15))</f>
        <v>8893299973.1747379</v>
      </c>
      <c r="H38" s="100">
        <f t="shared" si="1"/>
        <v>736412926918145.5</v>
      </c>
      <c r="I38" s="100">
        <f t="shared" si="18"/>
        <v>-4.5682414492628589E+17</v>
      </c>
      <c r="J38" s="132">
        <f t="shared" si="2"/>
        <v>1.3615820977889026</v>
      </c>
      <c r="K38" s="132">
        <f t="shared" si="3"/>
        <v>1.3952737129245851</v>
      </c>
      <c r="L38" s="132">
        <f t="shared" si="4"/>
        <v>1.3952737129245851</v>
      </c>
      <c r="M38" s="132">
        <f>IF(A38&lt;$E$6,"",calcfit(Jo_1,Jo_2,Rshunt,Jsc,D38))</f>
        <v>1.3802707753965755</v>
      </c>
      <c r="N38" s="100">
        <f t="shared" si="5"/>
        <v>1.1814735851123496E-4</v>
      </c>
      <c r="O38" s="100">
        <f t="shared" si="16"/>
        <v>3.8925551315799414E-5</v>
      </c>
      <c r="P38" s="103" t="str">
        <f t="shared" si="6"/>
        <v/>
      </c>
      <c r="Q38" s="103" t="str">
        <f t="shared" si="7"/>
        <v/>
      </c>
      <c r="R38" s="103" t="str">
        <f t="shared" si="8"/>
        <v/>
      </c>
      <c r="S38" s="103" t="str">
        <f t="shared" si="9"/>
        <v/>
      </c>
      <c r="T38" s="103" t="str">
        <f t="shared" si="10"/>
        <v/>
      </c>
      <c r="U38" s="97">
        <f t="shared" si="11"/>
        <v>-1.5456387996490052E-2</v>
      </c>
      <c r="V38" s="103" t="str">
        <f t="shared" si="17"/>
        <v/>
      </c>
      <c r="W38" s="103" t="str">
        <f t="shared" si="12"/>
        <v/>
      </c>
      <c r="X38" s="132">
        <f t="shared" si="13"/>
        <v>-9.9658695187798147E-3</v>
      </c>
    </row>
    <row r="39" spans="1:24">
      <c r="A39" s="131">
        <v>3.1719999999999999E-3</v>
      </c>
      <c r="B39" s="131">
        <v>0.64634800000000003</v>
      </c>
      <c r="C39" s="131">
        <v>0.13802200000000001</v>
      </c>
      <c r="D39" s="132">
        <f t="shared" si="0"/>
        <v>0.64293450860000001</v>
      </c>
      <c r="E39" s="132">
        <f t="shared" si="14"/>
        <v>-17.682692307691589</v>
      </c>
      <c r="F39" s="100">
        <f t="shared" si="15"/>
        <v>689602681773026.5</v>
      </c>
      <c r="G39" s="100">
        <f>IF(WaferType="p-type",n_intr_boltzmann(0,SampleDoping,F39,298.15),n_intr_boltzmann(SampleDoping,0,F39,298.15))</f>
        <v>8892025782.1288166</v>
      </c>
      <c r="H39" s="100">
        <f t="shared" si="1"/>
        <v>689602681773026.5</v>
      </c>
      <c r="I39" s="100">
        <f t="shared" si="18"/>
        <v>-4.3654613563456077E+17</v>
      </c>
      <c r="J39" s="132">
        <f t="shared" si="2"/>
        <v>1.2882565177821186</v>
      </c>
      <c r="K39" s="132">
        <f t="shared" si="3"/>
        <v>1.3204525926921749</v>
      </c>
      <c r="L39" s="132">
        <f t="shared" si="4"/>
        <v>1.3204525926921749</v>
      </c>
      <c r="M39" s="132">
        <f>IF(A39&lt;$E$6,"",calcfit(Jo_1,Jo_2,Rshunt,Jsc,D39))</f>
        <v>1.3100405977641256</v>
      </c>
      <c r="N39" s="100">
        <f t="shared" si="5"/>
        <v>6.3168183276998737E-5</v>
      </c>
      <c r="O39" s="100">
        <f t="shared" si="16"/>
        <v>3.8516685649442952E-5</v>
      </c>
      <c r="P39" s="103" t="str">
        <f t="shared" si="6"/>
        <v/>
      </c>
      <c r="Q39" s="103" t="str">
        <f t="shared" si="7"/>
        <v/>
      </c>
      <c r="R39" s="103" t="str">
        <f t="shared" si="8"/>
        <v/>
      </c>
      <c r="S39" s="103" t="str">
        <f t="shared" si="9"/>
        <v/>
      </c>
      <c r="T39" s="103" t="str">
        <f t="shared" si="10"/>
        <v/>
      </c>
      <c r="U39" s="97">
        <f t="shared" si="11"/>
        <v>-1.2530657732042113E-2</v>
      </c>
      <c r="V39" s="103" t="str">
        <f t="shared" si="17"/>
        <v/>
      </c>
      <c r="W39" s="103" t="str">
        <f t="shared" si="12"/>
        <v/>
      </c>
      <c r="X39" s="132">
        <f t="shared" si="13"/>
        <v>-8.0563922713852865E-3</v>
      </c>
    </row>
    <row r="40" spans="1:24">
      <c r="A40" s="131">
        <v>3.2759999999999998E-3</v>
      </c>
      <c r="B40" s="131">
        <v>0.64452699999999996</v>
      </c>
      <c r="C40" s="131">
        <v>0.13067200000000001</v>
      </c>
      <c r="D40" s="132">
        <f t="shared" si="0"/>
        <v>0.64111350859999994</v>
      </c>
      <c r="E40" s="132">
        <f t="shared" si="14"/>
        <v>-17.509615384616094</v>
      </c>
      <c r="F40" s="100">
        <f t="shared" si="15"/>
        <v>645981144466269.5</v>
      </c>
      <c r="G40" s="100">
        <f>IF(WaferType="p-type",n_intr_boltzmann(0,SampleDoping,F40,298.15),n_intr_boltzmann(SampleDoping,0,F40,298.15))</f>
        <v>8890842063.6155872</v>
      </c>
      <c r="H40" s="100">
        <f t="shared" si="1"/>
        <v>645981144466269.5</v>
      </c>
      <c r="I40" s="100">
        <f t="shared" si="18"/>
        <v>-4.068238317090791E+17</v>
      </c>
      <c r="J40" s="132">
        <f t="shared" si="2"/>
        <v>1.219653792088399</v>
      </c>
      <c r="K40" s="132">
        <f t="shared" si="3"/>
        <v>1.2496577927923849</v>
      </c>
      <c r="L40" s="132">
        <f t="shared" si="4"/>
        <v>1.2496577927923849</v>
      </c>
      <c r="M40" s="132">
        <f>IF(A40&lt;$E$6,"",calcfit(Jo_1,Jo_2,Rshunt,Jsc,D40))</f>
        <v>1.2444708579565897</v>
      </c>
      <c r="N40" s="100">
        <f t="shared" si="5"/>
        <v>1.7372092040069406E-5</v>
      </c>
      <c r="O40" s="100">
        <f t="shared" si="16"/>
        <v>3.812426861645276E-5</v>
      </c>
      <c r="P40" s="103" t="str">
        <f t="shared" si="6"/>
        <v/>
      </c>
      <c r="Q40" s="103" t="str">
        <f t="shared" si="7"/>
        <v/>
      </c>
      <c r="R40" s="103" t="str">
        <f t="shared" si="8"/>
        <v/>
      </c>
      <c r="S40" s="103" t="str">
        <f t="shared" si="9"/>
        <v/>
      </c>
      <c r="T40" s="103" t="str">
        <f t="shared" si="10"/>
        <v/>
      </c>
      <c r="U40" s="97">
        <f t="shared" si="11"/>
        <v>-9.7623686715606253E-3</v>
      </c>
      <c r="V40" s="103" t="str">
        <f t="shared" si="17"/>
        <v/>
      </c>
      <c r="W40" s="103" t="str">
        <f t="shared" si="12"/>
        <v/>
      </c>
      <c r="X40" s="132">
        <f t="shared" si="13"/>
        <v>-6.2587864312709527E-3</v>
      </c>
    </row>
    <row r="41" spans="1:24">
      <c r="A41" s="131">
        <v>3.3800000000000002E-3</v>
      </c>
      <c r="B41" s="131">
        <v>0.64269600000000005</v>
      </c>
      <c r="C41" s="131">
        <v>0.123726</v>
      </c>
      <c r="D41" s="132">
        <f t="shared" ref="D41:D72" si="19">B41/NumCells+(Temp-25)*NumCells*TempCo</f>
        <v>0.63928250860000002</v>
      </c>
      <c r="E41" s="132">
        <f t="shared" si="14"/>
        <v>-17.605769230768363</v>
      </c>
      <c r="F41" s="100">
        <f t="shared" ref="F41:F72" si="20">calccarrierdensity(SampleDoping,D41,ni_SproulGreen)</f>
        <v>604719594167637</v>
      </c>
      <c r="G41" s="100">
        <f>IF(WaferType="p-type",n_intr_boltzmann(0,SampleDoping,F41,298.15),n_intr_boltzmann(SampleDoping,0,F41,298.15))</f>
        <v>8889725844.961998</v>
      </c>
      <c r="H41" s="100">
        <f t="shared" ref="H41:H72" si="21">IF(BandGapSetting="OFF",F41,calccarrierdensity(SampleDoping,D41,G41))</f>
        <v>604719594167637</v>
      </c>
      <c r="I41" s="100">
        <f t="shared" si="18"/>
        <v>-3.8465034642458822E+17</v>
      </c>
      <c r="J41" s="132">
        <f t="shared" ref="J41:J72" si="22">IF(C41&gt;0,C41/RefCellCal,0.0001)</f>
        <v>1.15482188288179</v>
      </c>
      <c r="K41" s="132">
        <f t="shared" ref="K41:K72" si="23">IF(Mode="Generalized",J41-q*Wafer_Thickness*I41/Jsc,J41)</f>
        <v>1.1831905485433551</v>
      </c>
      <c r="L41" s="132">
        <f t="shared" ref="L41:L72" si="24">IF(K41&lt;0.001, 0.001, K41)</f>
        <v>1.1831905485433551</v>
      </c>
      <c r="M41" s="132">
        <f>IF(A41&lt;$E$6,"",calcfit(Jo_1,Jo_2,Rshunt,Jsc,D41))</f>
        <v>1.1822812353587078</v>
      </c>
      <c r="N41" s="100">
        <f t="shared" ref="N41:N72" si="25">IF(M41="","",(((M41)-L41)*((M41)-L41)/M41/M41))</f>
        <v>5.9154172439739887E-7</v>
      </c>
      <c r="O41" s="100">
        <f t="shared" si="16"/>
        <v>3.7693991658382044E-5</v>
      </c>
      <c r="P41" s="103" t="str">
        <f t="shared" ref="P41:P72" si="26">IF(A41&lt;TimeofMaxPV,"",IF(L41&gt;0.85,IF(L41&lt;1.1,D41,""),""))</f>
        <v/>
      </c>
      <c r="Q41" s="103" t="str">
        <f t="shared" ref="Q41:Q72" si="27">IF(A41&lt;TimeofMaxPV,"",IF(L41&gt;0.85,IF(L41&lt;1.15,D41,""),""))</f>
        <v/>
      </c>
      <c r="R41" s="103" t="str">
        <f t="shared" ref="R41:R72" si="28">IF(A41&lt;TimeofMaxPV,"",IF(L41&gt;0.06,IF(L41&lt;0.14,D41,""),""))</f>
        <v/>
      </c>
      <c r="S41" s="103" t="str">
        <f t="shared" ref="S41:S72" si="29">IF(Q41="","",LOG10($L41))</f>
        <v/>
      </c>
      <c r="T41" s="103" t="str">
        <f t="shared" ref="T41:T72" si="30">IF(R41="","",LOG10($L41))</f>
        <v/>
      </c>
      <c r="U41" s="97">
        <f t="shared" ref="U41:U72" si="31">Jsc*(1-L41)</f>
        <v>-7.1633000196908159E-3</v>
      </c>
      <c r="V41" s="103" t="str">
        <f t="shared" ref="V41:V72" si="32">IF(P41="","",U41)</f>
        <v/>
      </c>
      <c r="W41" s="103" t="str">
        <f t="shared" ref="W41:W72" si="33">IF(A41&lt;TimeofMaxPV,"",IF(U41&gt;0.96*Jsc,IF(U41&lt;0.98*Jsc,D41,""),""))</f>
        <v/>
      </c>
      <c r="X41" s="132">
        <f t="shared" ref="X41:X72" si="34">D41*U41</f>
        <v>-4.5793724064423745E-3</v>
      </c>
    </row>
    <row r="42" spans="1:24">
      <c r="A42" s="131">
        <v>3.4840000000000001E-3</v>
      </c>
      <c r="B42" s="131">
        <v>0.64086100000000001</v>
      </c>
      <c r="C42" s="131">
        <v>0.11723</v>
      </c>
      <c r="D42" s="132">
        <f t="shared" si="19"/>
        <v>0.63744750859999999</v>
      </c>
      <c r="E42" s="132">
        <f t="shared" ref="E42:E73" si="35">SLOPE(D41:D42,A41:A42)</f>
        <v>-17.644230769231083</v>
      </c>
      <c r="F42" s="100">
        <f t="shared" si="20"/>
        <v>565847475769470</v>
      </c>
      <c r="G42" s="100">
        <f>IF(WaferType="p-type",n_intr_boltzmann(0,SampleDoping,F42,298.15),n_intr_boltzmann(SampleDoping,0,F42,298.15))</f>
        <v>8888677513.5485153</v>
      </c>
      <c r="H42" s="100">
        <f t="shared" si="21"/>
        <v>565847475769470</v>
      </c>
      <c r="I42" s="100">
        <f t="shared" ref="I42:I73" si="36">calcdndt(D42,SampleDoping,ni_SproulGreen,G42,E42,BandGapSetting)</f>
        <v>-3.6226018731560909E+17</v>
      </c>
      <c r="J42" s="132">
        <f t="shared" si="22"/>
        <v>1.0941901405543881</v>
      </c>
      <c r="K42" s="132">
        <f t="shared" si="23"/>
        <v>1.1209074910831944</v>
      </c>
      <c r="L42" s="132">
        <f t="shared" si="24"/>
        <v>1.1209074910831944</v>
      </c>
      <c r="M42" s="132">
        <f>IF(A42&lt;$E$6,"",calcfit(Jo_1,Jo_2,Rshunt,Jsc,D42))</f>
        <v>1.1234872796133009</v>
      </c>
      <c r="N42" s="100">
        <f t="shared" si="25"/>
        <v>5.2726858414077914E-6</v>
      </c>
      <c r="O42" s="100">
        <f t="shared" ref="O42:O73" si="37">H42/((Jsc*L42)/(q*Wafer_Thickness))</f>
        <v>3.723080206200717E-5</v>
      </c>
      <c r="P42" s="103" t="str">
        <f t="shared" si="26"/>
        <v/>
      </c>
      <c r="Q42" s="103">
        <f t="shared" si="27"/>
        <v>0.63744750859999999</v>
      </c>
      <c r="R42" s="103" t="str">
        <f t="shared" si="28"/>
        <v/>
      </c>
      <c r="S42" s="103">
        <f t="shared" si="29"/>
        <v>4.9569771587011757E-2</v>
      </c>
      <c r="T42" s="103" t="str">
        <f t="shared" si="30"/>
        <v/>
      </c>
      <c r="U42" s="97">
        <f t="shared" si="31"/>
        <v>-4.7278456238261518E-3</v>
      </c>
      <c r="V42" s="103" t="str">
        <f t="shared" si="32"/>
        <v/>
      </c>
      <c r="W42" s="103" t="str">
        <f t="shared" si="33"/>
        <v/>
      </c>
      <c r="X42" s="132">
        <f t="shared" si="34"/>
        <v>-3.0137534139533934E-3</v>
      </c>
    </row>
    <row r="43" spans="1:24">
      <c r="A43" s="131">
        <v>3.588E-3</v>
      </c>
      <c r="B43" s="131">
        <v>0.638988</v>
      </c>
      <c r="C43" s="131">
        <v>0.111066</v>
      </c>
      <c r="D43" s="132">
        <f t="shared" si="19"/>
        <v>0.63557450859999998</v>
      </c>
      <c r="E43" s="132">
        <f t="shared" si="35"/>
        <v>-18.009615384615529</v>
      </c>
      <c r="F43" s="100">
        <f t="shared" si="20"/>
        <v>528594281160171</v>
      </c>
      <c r="G43" s="100">
        <f>IF(WaferType="p-type",n_intr_boltzmann(0,SampleDoping,F43,298.15),n_intr_boltzmann(SampleDoping,0,F43,298.15))</f>
        <v>8887675953.3104572</v>
      </c>
      <c r="H43" s="100">
        <f t="shared" si="21"/>
        <v>528594281160171</v>
      </c>
      <c r="I43" s="100">
        <f t="shared" si="36"/>
        <v>-3.4686017634983821E+17</v>
      </c>
      <c r="J43" s="132">
        <f t="shared" si="22"/>
        <v>1.0366571880134239</v>
      </c>
      <c r="K43" s="132">
        <f t="shared" si="23"/>
        <v>1.0622387596034271</v>
      </c>
      <c r="L43" s="132">
        <f t="shared" si="24"/>
        <v>1.0622387596034271</v>
      </c>
      <c r="M43" s="132">
        <f>IF(A43&lt;$E$6,"",calcfit(Jo_1,Jo_2,Rshunt,Jsc,D43))</f>
        <v>1.066896436969702</v>
      </c>
      <c r="N43" s="100">
        <f t="shared" si="25"/>
        <v>1.905874390805323E-5</v>
      </c>
      <c r="O43" s="100">
        <f t="shared" si="37"/>
        <v>3.6700594313431778E-5</v>
      </c>
      <c r="P43" s="103">
        <f t="shared" si="26"/>
        <v>0.63557450859999998</v>
      </c>
      <c r="Q43" s="103">
        <f t="shared" si="27"/>
        <v>0.63557450859999998</v>
      </c>
      <c r="R43" s="103" t="str">
        <f t="shared" si="28"/>
        <v/>
      </c>
      <c r="S43" s="103">
        <f t="shared" si="29"/>
        <v>2.6222144169145135E-2</v>
      </c>
      <c r="T43" s="103" t="str">
        <f t="shared" si="30"/>
        <v/>
      </c>
      <c r="U43" s="97">
        <f t="shared" si="31"/>
        <v>-2.4337222167728082E-3</v>
      </c>
      <c r="V43" s="103">
        <f t="shared" si="32"/>
        <v>-2.4337222167728082E-3</v>
      </c>
      <c r="W43" s="103" t="str">
        <f t="shared" si="33"/>
        <v/>
      </c>
      <c r="X43" s="132">
        <f t="shared" si="34"/>
        <v>-1.5468118019942802E-3</v>
      </c>
    </row>
    <row r="44" spans="1:24">
      <c r="A44" s="131">
        <v>3.692E-3</v>
      </c>
      <c r="B44" s="131">
        <v>0.63716399999999995</v>
      </c>
      <c r="C44" s="131">
        <v>0.105254</v>
      </c>
      <c r="D44" s="132">
        <f t="shared" si="19"/>
        <v>0.63375050859999993</v>
      </c>
      <c r="E44" s="132">
        <f t="shared" si="35"/>
        <v>-17.538461538462009</v>
      </c>
      <c r="F44" s="100">
        <f t="shared" si="20"/>
        <v>494542434382628.5</v>
      </c>
      <c r="G44" s="100">
        <f>IF(WaferType="p-type",n_intr_boltzmann(0,SampleDoping,F44,298.15),n_intr_boltzmann(SampleDoping,0,F44,298.15))</f>
        <v>8886763254.2327785</v>
      </c>
      <c r="H44" s="100">
        <f t="shared" si="21"/>
        <v>494542434382628.5</v>
      </c>
      <c r="I44" s="100">
        <f t="shared" si="36"/>
        <v>-3.172474802854128E+17</v>
      </c>
      <c r="J44" s="132">
        <f t="shared" si="22"/>
        <v>0.98240969934241729</v>
      </c>
      <c r="K44" s="132">
        <f t="shared" si="23"/>
        <v>1.0058072805063154</v>
      </c>
      <c r="L44" s="132">
        <f t="shared" si="24"/>
        <v>1.0058072805063154</v>
      </c>
      <c r="M44" s="132">
        <f>IF(A44&lt;$E$6,"",calcfit(Jo_1,Jo_2,Rshunt,Jsc,D44))</f>
        <v>1.0149030339241625</v>
      </c>
      <c r="N44" s="100">
        <f t="shared" si="25"/>
        <v>8.0320842465264532E-5</v>
      </c>
      <c r="O44" s="100">
        <f t="shared" si="37"/>
        <v>3.6262819515461852E-5</v>
      </c>
      <c r="P44" s="103">
        <f t="shared" si="26"/>
        <v>0.63375050859999993</v>
      </c>
      <c r="Q44" s="103">
        <f t="shared" si="27"/>
        <v>0.63375050859999993</v>
      </c>
      <c r="R44" s="103" t="str">
        <f t="shared" si="28"/>
        <v/>
      </c>
      <c r="S44" s="103">
        <f t="shared" si="29"/>
        <v>2.5147749240757426E-3</v>
      </c>
      <c r="T44" s="103" t="str">
        <f t="shared" si="30"/>
        <v/>
      </c>
      <c r="U44" s="97">
        <f t="shared" si="31"/>
        <v>-2.2708208963845124E-4</v>
      </c>
      <c r="V44" s="103">
        <f t="shared" si="32"/>
        <v>-2.2708208963845124E-4</v>
      </c>
      <c r="W44" s="103" t="str">
        <f t="shared" si="33"/>
        <v/>
      </c>
      <c r="X44" s="132">
        <f t="shared" si="34"/>
        <v>-1.4391338980231924E-4</v>
      </c>
    </row>
    <row r="45" spans="1:24">
      <c r="A45" s="131">
        <v>3.7959999999999999E-3</v>
      </c>
      <c r="B45" s="131">
        <v>0.63529999999999998</v>
      </c>
      <c r="C45" s="131">
        <v>9.9807000000000007E-2</v>
      </c>
      <c r="D45" s="132">
        <f t="shared" si="19"/>
        <v>0.63188650859999995</v>
      </c>
      <c r="E45" s="132">
        <f t="shared" si="35"/>
        <v>-17.923076923076714</v>
      </c>
      <c r="F45" s="100">
        <f t="shared" si="20"/>
        <v>461889292083058.5</v>
      </c>
      <c r="G45" s="100">
        <f>IF(WaferType="p-type",n_intr_boltzmann(0,SampleDoping,F45,298.15),n_intr_boltzmann(SampleDoping,0,F45,298.15))</f>
        <v>8885890662.7702007</v>
      </c>
      <c r="H45" s="100">
        <f t="shared" si="21"/>
        <v>461889292083058.5</v>
      </c>
      <c r="I45" s="100">
        <f t="shared" si="36"/>
        <v>-3.0393483011743622E+17</v>
      </c>
      <c r="J45" s="132">
        <f t="shared" si="22"/>
        <v>0.93156901269565662</v>
      </c>
      <c r="K45" s="132">
        <f t="shared" si="23"/>
        <v>0.95398476159241885</v>
      </c>
      <c r="L45" s="132">
        <f t="shared" si="24"/>
        <v>0.95398476159241885</v>
      </c>
      <c r="M45" s="132">
        <f>IF(A45&lt;$E$6,"",calcfit(Jo_1,Jo_2,Rshunt,Jsc,D45))</f>
        <v>0.96475119993120195</v>
      </c>
      <c r="N45" s="100">
        <f t="shared" si="25"/>
        <v>1.2454131875612191E-4</v>
      </c>
      <c r="O45" s="100">
        <f t="shared" si="37"/>
        <v>3.5708305165972581E-5</v>
      </c>
      <c r="P45" s="103">
        <f t="shared" si="26"/>
        <v>0.63188650859999995</v>
      </c>
      <c r="Q45" s="103">
        <f t="shared" si="27"/>
        <v>0.63188650859999995</v>
      </c>
      <c r="R45" s="103" t="str">
        <f t="shared" si="28"/>
        <v/>
      </c>
      <c r="S45" s="103">
        <f t="shared" si="29"/>
        <v>-2.045856241244674E-2</v>
      </c>
      <c r="T45" s="103" t="str">
        <f t="shared" si="30"/>
        <v/>
      </c>
      <c r="U45" s="97">
        <f t="shared" si="31"/>
        <v>1.7993338674516456E-3</v>
      </c>
      <c r="V45" s="103">
        <f t="shared" si="32"/>
        <v>1.7993338674516456E-3</v>
      </c>
      <c r="W45" s="103" t="str">
        <f t="shared" si="33"/>
        <v/>
      </c>
      <c r="X45" s="132">
        <f t="shared" si="34"/>
        <v>1.1369747953097553E-3</v>
      </c>
    </row>
    <row r="46" spans="1:24">
      <c r="A46" s="131">
        <v>3.8999999999999998E-3</v>
      </c>
      <c r="B46" s="131">
        <v>0.63345300000000004</v>
      </c>
      <c r="C46" s="131">
        <v>9.4616000000000006E-2</v>
      </c>
      <c r="D46" s="132">
        <f t="shared" si="19"/>
        <v>0.63003950860000002</v>
      </c>
      <c r="E46" s="132">
        <f t="shared" si="35"/>
        <v>-17.759615384614744</v>
      </c>
      <c r="F46" s="100">
        <f t="shared" si="20"/>
        <v>431554647735362</v>
      </c>
      <c r="G46" s="100">
        <f>IF(WaferType="p-type",n_intr_boltzmann(0,SampleDoping,F46,298.15),n_intr_boltzmann(SampleDoping,0,F46,298.15))</f>
        <v>8885082420.8696709</v>
      </c>
      <c r="H46" s="100">
        <f t="shared" si="21"/>
        <v>431554647735362</v>
      </c>
      <c r="I46" s="100">
        <f t="shared" si="36"/>
        <v>-2.8237661247400314E+17</v>
      </c>
      <c r="J46" s="132">
        <f t="shared" si="22"/>
        <v>0.88311775431795614</v>
      </c>
      <c r="K46" s="132">
        <f t="shared" si="23"/>
        <v>0.90394354528469034</v>
      </c>
      <c r="L46" s="132">
        <f t="shared" si="24"/>
        <v>0.90394354528469034</v>
      </c>
      <c r="M46" s="132">
        <f>IF(A46&lt;$E$6,"",calcfit(Jo_1,Jo_2,Rshunt,Jsc,D46))</f>
        <v>0.91784809692297131</v>
      </c>
      <c r="N46" s="100">
        <f t="shared" si="25"/>
        <v>2.2949453869518081E-4</v>
      </c>
      <c r="O46" s="100">
        <f t="shared" si="37"/>
        <v>3.5210101035545615E-5</v>
      </c>
      <c r="P46" s="103">
        <f t="shared" si="26"/>
        <v>0.63003950860000002</v>
      </c>
      <c r="Q46" s="103">
        <f t="shared" si="27"/>
        <v>0.63003950860000002</v>
      </c>
      <c r="R46" s="103" t="str">
        <f t="shared" si="28"/>
        <v/>
      </c>
      <c r="S46" s="103">
        <f t="shared" si="29"/>
        <v>-4.3858692021252602E-2</v>
      </c>
      <c r="T46" s="103" t="str">
        <f t="shared" si="30"/>
        <v/>
      </c>
      <c r="U46" s="97">
        <f t="shared" si="31"/>
        <v>3.7560955487327533E-3</v>
      </c>
      <c r="V46" s="103">
        <f t="shared" si="32"/>
        <v>3.7560955487327533E-3</v>
      </c>
      <c r="W46" s="103" t="str">
        <f t="shared" si="33"/>
        <v/>
      </c>
      <c r="X46" s="132">
        <f t="shared" si="34"/>
        <v>2.3664885937782314E-3</v>
      </c>
    </row>
    <row r="47" spans="1:24">
      <c r="A47" s="131">
        <v>4.0039999999999997E-3</v>
      </c>
      <c r="B47" s="131">
        <v>0.63159100000000001</v>
      </c>
      <c r="C47" s="131">
        <v>8.9677000000000007E-2</v>
      </c>
      <c r="D47" s="132">
        <f t="shared" si="19"/>
        <v>0.62817750859999999</v>
      </c>
      <c r="E47" s="132">
        <f t="shared" si="35"/>
        <v>-17.903846153846459</v>
      </c>
      <c r="F47" s="100">
        <f t="shared" si="20"/>
        <v>402894688283815</v>
      </c>
      <c r="G47" s="100">
        <f>IF(WaferType="p-type",n_intr_boltzmann(0,SampleDoping,F47,298.15),n_intr_boltzmann(SampleDoping,0,F47,298.15))</f>
        <v>8884320999.1434345</v>
      </c>
      <c r="H47" s="100">
        <f t="shared" si="21"/>
        <v>402894688283815</v>
      </c>
      <c r="I47" s="100">
        <f t="shared" si="36"/>
        <v>-2.6666031270487434E+17</v>
      </c>
      <c r="J47" s="132">
        <f t="shared" si="22"/>
        <v>0.83701858939261176</v>
      </c>
      <c r="K47" s="132">
        <f t="shared" si="23"/>
        <v>0.85668527454355337</v>
      </c>
      <c r="L47" s="132">
        <f t="shared" si="24"/>
        <v>0.85668527454355337</v>
      </c>
      <c r="M47" s="132">
        <f>IF(A47&lt;$E$6,"",calcfit(Jo_1,Jo_2,Rshunt,Jsc,D47))</f>
        <v>0.87320419426291429</v>
      </c>
      <c r="N47" s="100">
        <f t="shared" si="25"/>
        <v>3.5787524546543835E-4</v>
      </c>
      <c r="O47" s="100">
        <f t="shared" si="37"/>
        <v>3.4685105583406416E-5</v>
      </c>
      <c r="P47" s="103">
        <f t="shared" si="26"/>
        <v>0.62817750859999999</v>
      </c>
      <c r="Q47" s="103">
        <f t="shared" si="27"/>
        <v>0.62817750859999999</v>
      </c>
      <c r="R47" s="103" t="str">
        <f t="shared" si="28"/>
        <v/>
      </c>
      <c r="S47" s="103">
        <f t="shared" si="29"/>
        <v>-6.7178698068735457E-2</v>
      </c>
      <c r="T47" s="103" t="str">
        <f t="shared" si="30"/>
        <v/>
      </c>
      <c r="U47" s="97">
        <f t="shared" si="31"/>
        <v>5.6040357095234325E-3</v>
      </c>
      <c r="V47" s="103">
        <f t="shared" si="32"/>
        <v>5.6040357095234325E-3</v>
      </c>
      <c r="W47" s="103" t="str">
        <f t="shared" si="33"/>
        <v/>
      </c>
      <c r="X47" s="132">
        <f t="shared" si="34"/>
        <v>3.520329190113863E-3</v>
      </c>
    </row>
    <row r="48" spans="1:24">
      <c r="A48" s="131">
        <v>4.1079999999999997E-3</v>
      </c>
      <c r="B48" s="131">
        <v>0.62972799999999995</v>
      </c>
      <c r="C48" s="131">
        <v>8.5089999999999999E-2</v>
      </c>
      <c r="D48" s="132">
        <f t="shared" si="19"/>
        <v>0.62631450859999993</v>
      </c>
      <c r="E48" s="132">
        <f t="shared" si="35"/>
        <v>-17.913461538462119</v>
      </c>
      <c r="F48" s="100">
        <f t="shared" si="20"/>
        <v>376039369485354.5</v>
      </c>
      <c r="G48" s="100">
        <f>IF(WaferType="p-type",n_intr_boltzmann(0,SampleDoping,F48,298.15),n_intr_boltzmann(SampleDoping,0,F48,298.15))</f>
        <v>8883609531.9935246</v>
      </c>
      <c r="H48" s="100">
        <f t="shared" si="21"/>
        <v>376039369485354.5</v>
      </c>
      <c r="I48" s="100">
        <f t="shared" si="36"/>
        <v>-2.4981413055669859E+17</v>
      </c>
      <c r="J48" s="132">
        <f t="shared" si="22"/>
        <v>0.79420488833722502</v>
      </c>
      <c r="K48" s="132">
        <f t="shared" si="23"/>
        <v>0.8126291367830456</v>
      </c>
      <c r="L48" s="132">
        <f t="shared" si="24"/>
        <v>0.8126291367830456</v>
      </c>
      <c r="M48" s="132">
        <f>IF(A48&lt;$E$6,"",calcfit(Jo_1,Jo_2,Rshunt,Jsc,D48))</f>
        <v>0.83102729785692109</v>
      </c>
      <c r="N48" s="100">
        <f t="shared" si="25"/>
        <v>4.9013786392738154E-4</v>
      </c>
      <c r="O48" s="100">
        <f t="shared" si="37"/>
        <v>3.4128225444932609E-5</v>
      </c>
      <c r="P48" s="103" t="str">
        <f t="shared" si="26"/>
        <v/>
      </c>
      <c r="Q48" s="103" t="str">
        <f t="shared" si="27"/>
        <v/>
      </c>
      <c r="R48" s="103" t="str">
        <f t="shared" si="28"/>
        <v/>
      </c>
      <c r="S48" s="103" t="str">
        <f t="shared" si="29"/>
        <v/>
      </c>
      <c r="T48" s="103" t="str">
        <f t="shared" si="30"/>
        <v/>
      </c>
      <c r="U48" s="97">
        <f t="shared" si="31"/>
        <v>7.326762864372568E-3</v>
      </c>
      <c r="V48" s="103" t="str">
        <f t="shared" si="32"/>
        <v/>
      </c>
      <c r="W48" s="103" t="str">
        <f t="shared" si="33"/>
        <v/>
      </c>
      <c r="X48" s="132">
        <f t="shared" si="34"/>
        <v>4.588857883028233E-3</v>
      </c>
    </row>
    <row r="49" spans="1:24">
      <c r="A49" s="131">
        <v>4.2119999999999996E-3</v>
      </c>
      <c r="B49" s="131">
        <v>0.62785800000000003</v>
      </c>
      <c r="C49" s="131">
        <v>8.0708000000000002E-2</v>
      </c>
      <c r="D49" s="132">
        <f t="shared" si="19"/>
        <v>0.6244445086</v>
      </c>
      <c r="E49" s="132">
        <f t="shared" si="35"/>
        <v>-17.980769230768544</v>
      </c>
      <c r="F49" s="100">
        <f t="shared" si="20"/>
        <v>350807633521089.5</v>
      </c>
      <c r="G49" s="100">
        <f>IF(WaferType="p-type",n_intr_boltzmann(0,SampleDoping,F49,298.15),n_intr_boltzmann(SampleDoping,0,F49,298.15))</f>
        <v>8882942909.5771389</v>
      </c>
      <c r="H49" s="100">
        <f t="shared" si="21"/>
        <v>350807633521089.5</v>
      </c>
      <c r="I49" s="100">
        <f t="shared" si="36"/>
        <v>-2.3463592043837962E+17</v>
      </c>
      <c r="J49" s="132">
        <f t="shared" si="22"/>
        <v>0.75330459663792171</v>
      </c>
      <c r="K49" s="132">
        <f t="shared" si="23"/>
        <v>0.77060942436258617</v>
      </c>
      <c r="L49" s="132">
        <f t="shared" si="24"/>
        <v>0.77060942436258617</v>
      </c>
      <c r="M49" s="132">
        <f>IF(A49&lt;$E$6,"",calcfit(Jo_1,Jo_2,Rshunt,Jsc,D49))</f>
        <v>0.79104466225817993</v>
      </c>
      <c r="N49" s="100">
        <f t="shared" si="25"/>
        <v>6.6735571966840593E-4</v>
      </c>
      <c r="O49" s="100">
        <f t="shared" si="37"/>
        <v>3.3574341227809322E-5</v>
      </c>
      <c r="P49" s="103" t="str">
        <f t="shared" si="26"/>
        <v/>
      </c>
      <c r="Q49" s="103" t="str">
        <f t="shared" si="27"/>
        <v/>
      </c>
      <c r="R49" s="103" t="str">
        <f t="shared" si="28"/>
        <v/>
      </c>
      <c r="S49" s="103" t="str">
        <f t="shared" si="29"/>
        <v/>
      </c>
      <c r="T49" s="103" t="str">
        <f t="shared" si="30"/>
        <v/>
      </c>
      <c r="U49" s="97">
        <f t="shared" si="31"/>
        <v>8.9698596791497921E-3</v>
      </c>
      <c r="V49" s="103" t="str">
        <f t="shared" si="32"/>
        <v/>
      </c>
      <c r="W49" s="103" t="str">
        <f t="shared" si="33"/>
        <v/>
      </c>
      <c r="X49" s="132">
        <f t="shared" si="34"/>
        <v>5.601179619557646E-3</v>
      </c>
    </row>
    <row r="50" spans="1:24">
      <c r="A50" s="131">
        <v>4.3160000000000004E-3</v>
      </c>
      <c r="B50" s="131">
        <v>0.62595500000000004</v>
      </c>
      <c r="C50" s="131">
        <v>7.6606999999999995E-2</v>
      </c>
      <c r="D50" s="132">
        <f t="shared" si="19"/>
        <v>0.62254150860000002</v>
      </c>
      <c r="E50" s="132">
        <f t="shared" si="35"/>
        <v>-18.298076923076671</v>
      </c>
      <c r="F50" s="100">
        <f t="shared" si="20"/>
        <v>326799463812672</v>
      </c>
      <c r="G50" s="100">
        <f>IF(WaferType="p-type",n_intr_boltzmann(0,SampleDoping,F50,298.15),n_intr_boltzmann(SampleDoping,0,F50,298.15))</f>
        <v>8882310313.7357349</v>
      </c>
      <c r="H50" s="100">
        <f t="shared" si="21"/>
        <v>326799463812672</v>
      </c>
      <c r="I50" s="100">
        <f t="shared" si="36"/>
        <v>-2.2308235554648742E+17</v>
      </c>
      <c r="J50" s="132">
        <f t="shared" si="22"/>
        <v>0.71502707581207892</v>
      </c>
      <c r="K50" s="132">
        <f t="shared" si="23"/>
        <v>0.7314798070219114</v>
      </c>
      <c r="L50" s="132">
        <f t="shared" si="24"/>
        <v>0.7314798070219114</v>
      </c>
      <c r="M50" s="132">
        <f>IF(A50&lt;$E$6,"",calcfit(Jo_1,Jo_2,Rshunt,Jsc,D50))</f>
        <v>0.75262818009328514</v>
      </c>
      <c r="N50" s="100">
        <f t="shared" si="25"/>
        <v>7.8957424841397052E-4</v>
      </c>
      <c r="O50" s="100">
        <f t="shared" si="37"/>
        <v>3.2949723513315936E-5</v>
      </c>
      <c r="P50" s="103" t="str">
        <f t="shared" si="26"/>
        <v/>
      </c>
      <c r="Q50" s="103" t="str">
        <f t="shared" si="27"/>
        <v/>
      </c>
      <c r="R50" s="103" t="str">
        <f t="shared" si="28"/>
        <v/>
      </c>
      <c r="S50" s="103" t="str">
        <f t="shared" si="29"/>
        <v/>
      </c>
      <c r="T50" s="103" t="str">
        <f t="shared" si="30"/>
        <v/>
      </c>
      <c r="U50" s="97">
        <f t="shared" si="31"/>
        <v>1.0499945106022198E-2</v>
      </c>
      <c r="V50" s="103" t="str">
        <f t="shared" si="32"/>
        <v/>
      </c>
      <c r="W50" s="103" t="str">
        <f t="shared" si="33"/>
        <v/>
      </c>
      <c r="X50" s="132">
        <f t="shared" si="34"/>
        <v>6.5366516665202462E-3</v>
      </c>
    </row>
    <row r="51" spans="1:24">
      <c r="A51" s="131">
        <v>4.4200000000000003E-3</v>
      </c>
      <c r="B51" s="131">
        <v>0.62406300000000003</v>
      </c>
      <c r="C51" s="131">
        <v>7.2747999999999993E-2</v>
      </c>
      <c r="D51" s="132">
        <f t="shared" si="19"/>
        <v>0.62064950860000001</v>
      </c>
      <c r="E51" s="132">
        <f t="shared" si="35"/>
        <v>-18.19230769230775</v>
      </c>
      <c r="F51" s="100">
        <f t="shared" si="20"/>
        <v>304498668717008.5</v>
      </c>
      <c r="G51" s="100">
        <f>IF(WaferType="p-type",n_intr_boltzmann(0,SampleDoping,F51,298.15),n_intr_boltzmann(SampleDoping,0,F51,298.15))</f>
        <v>8881724234.8846531</v>
      </c>
      <c r="H51" s="100">
        <f t="shared" si="21"/>
        <v>304498668717008.5</v>
      </c>
      <c r="I51" s="100">
        <f t="shared" si="36"/>
        <v>-2.0722097164816595E+17</v>
      </c>
      <c r="J51" s="132">
        <f t="shared" si="22"/>
        <v>0.67900831139683204</v>
      </c>
      <c r="K51" s="132">
        <f t="shared" si="23"/>
        <v>0.69429123657132952</v>
      </c>
      <c r="L51" s="132">
        <f t="shared" si="24"/>
        <v>0.69429123657132952</v>
      </c>
      <c r="M51" s="132">
        <f>IF(A51&lt;$E$6,"",calcfit(Jo_1,Jo_2,Rshunt,Jsc,D51))</f>
        <v>0.71656628959341162</v>
      </c>
      <c r="N51" s="100">
        <f t="shared" si="25"/>
        <v>9.6632840685893122E-4</v>
      </c>
      <c r="O51" s="100">
        <f t="shared" si="37"/>
        <v>3.2345695639637137E-5</v>
      </c>
      <c r="P51" s="103" t="str">
        <f t="shared" si="26"/>
        <v/>
      </c>
      <c r="Q51" s="103" t="str">
        <f t="shared" si="27"/>
        <v/>
      </c>
      <c r="R51" s="103" t="str">
        <f t="shared" si="28"/>
        <v/>
      </c>
      <c r="S51" s="103" t="str">
        <f t="shared" si="29"/>
        <v/>
      </c>
      <c r="T51" s="103" t="str">
        <f t="shared" si="30"/>
        <v/>
      </c>
      <c r="U51" s="97">
        <f t="shared" si="31"/>
        <v>1.1954129776351302E-2</v>
      </c>
      <c r="V51" s="103" t="str">
        <f t="shared" si="32"/>
        <v/>
      </c>
      <c r="W51" s="103" t="str">
        <f t="shared" si="33"/>
        <v/>
      </c>
      <c r="X51" s="132">
        <f t="shared" si="34"/>
        <v>7.4193247714330638E-3</v>
      </c>
    </row>
    <row r="52" spans="1:24">
      <c r="A52" s="131">
        <v>4.5240000000000002E-3</v>
      </c>
      <c r="B52" s="131">
        <v>0.62217199999999995</v>
      </c>
      <c r="C52" s="131">
        <v>6.9114999999999996E-2</v>
      </c>
      <c r="D52" s="132">
        <f t="shared" si="19"/>
        <v>0.61875850859999992</v>
      </c>
      <c r="E52" s="132">
        <f t="shared" si="35"/>
        <v>-18.182692307693159</v>
      </c>
      <c r="F52" s="100">
        <f t="shared" si="20"/>
        <v>283677267292110</v>
      </c>
      <c r="G52" s="100">
        <f>IF(WaferType="p-type",n_intr_boltzmann(0,SampleDoping,F52,298.15),n_intr_boltzmann(SampleDoping,0,F52,298.15))</f>
        <v>8881178401.4997635</v>
      </c>
      <c r="H52" s="100">
        <f t="shared" si="21"/>
        <v>283677267292110</v>
      </c>
      <c r="I52" s="100">
        <f t="shared" si="36"/>
        <v>-1.9344440804440026E+17</v>
      </c>
      <c r="J52" s="132">
        <f t="shared" si="22"/>
        <v>0.64509896412536494</v>
      </c>
      <c r="K52" s="132">
        <f t="shared" si="23"/>
        <v>0.65936584256944009</v>
      </c>
      <c r="L52" s="132">
        <f t="shared" si="24"/>
        <v>0.65936584256944009</v>
      </c>
      <c r="M52" s="132">
        <f>IF(A52&lt;$E$6,"",calcfit(Jo_1,Jo_2,Rshunt,Jsc,D52))</f>
        <v>0.68251797142208015</v>
      </c>
      <c r="N52" s="100">
        <f t="shared" si="25"/>
        <v>1.1506776535829813E-3</v>
      </c>
      <c r="O52" s="100">
        <f t="shared" si="37"/>
        <v>3.1730058314595749E-5</v>
      </c>
      <c r="P52" s="103" t="str">
        <f t="shared" si="26"/>
        <v/>
      </c>
      <c r="Q52" s="103" t="str">
        <f t="shared" si="27"/>
        <v/>
      </c>
      <c r="R52" s="103" t="str">
        <f t="shared" si="28"/>
        <v/>
      </c>
      <c r="S52" s="103" t="str">
        <f t="shared" si="29"/>
        <v/>
      </c>
      <c r="T52" s="103" t="str">
        <f t="shared" si="30"/>
        <v/>
      </c>
      <c r="U52" s="97">
        <f t="shared" si="31"/>
        <v>1.3319817458007184E-2</v>
      </c>
      <c r="V52" s="103" t="str">
        <f t="shared" si="32"/>
        <v/>
      </c>
      <c r="W52" s="103" t="str">
        <f t="shared" si="33"/>
        <v/>
      </c>
      <c r="X52" s="132">
        <f t="shared" si="34"/>
        <v>8.2417503851407673E-3</v>
      </c>
    </row>
    <row r="53" spans="1:24">
      <c r="A53" s="131">
        <v>4.6280000000000002E-3</v>
      </c>
      <c r="B53" s="131">
        <v>0.62025399999999997</v>
      </c>
      <c r="C53" s="131">
        <v>6.5626000000000004E-2</v>
      </c>
      <c r="D53" s="132">
        <f t="shared" si="19"/>
        <v>0.61684050859999995</v>
      </c>
      <c r="E53" s="132">
        <f t="shared" si="35"/>
        <v>-18.442307692307466</v>
      </c>
      <c r="F53" s="100">
        <f t="shared" si="20"/>
        <v>263964939958886</v>
      </c>
      <c r="G53" s="100">
        <f>IF(WaferType="p-type",n_intr_boltzmann(0,SampleDoping,F53,298.15),n_intr_boltzmann(SampleDoping,0,F53,298.15))</f>
        <v>8880662889.3965607</v>
      </c>
      <c r="H53" s="100">
        <f t="shared" si="21"/>
        <v>263964939958886</v>
      </c>
      <c r="I53" s="100">
        <f t="shared" si="36"/>
        <v>-1.8301934186445651E+17</v>
      </c>
      <c r="J53" s="132">
        <f t="shared" si="22"/>
        <v>0.6125336702552443</v>
      </c>
      <c r="K53" s="132">
        <f t="shared" si="23"/>
        <v>0.62603168102584006</v>
      </c>
      <c r="L53" s="132">
        <f t="shared" si="24"/>
        <v>0.62603168102584006</v>
      </c>
      <c r="M53" s="132">
        <f>IF(A53&lt;$E$6,"",calcfit(Jo_1,Jo_2,Rshunt,Jsc,D53))</f>
        <v>0.64989585663391436</v>
      </c>
      <c r="N53" s="100">
        <f t="shared" si="25"/>
        <v>1.3483583720292239E-3</v>
      </c>
      <c r="O53" s="100">
        <f t="shared" si="37"/>
        <v>3.1097302385053734E-5</v>
      </c>
      <c r="P53" s="103" t="str">
        <f t="shared" si="26"/>
        <v/>
      </c>
      <c r="Q53" s="103" t="str">
        <f t="shared" si="27"/>
        <v/>
      </c>
      <c r="R53" s="103" t="str">
        <f t="shared" si="28"/>
        <v/>
      </c>
      <c r="S53" s="103" t="str">
        <f t="shared" si="29"/>
        <v/>
      </c>
      <c r="T53" s="103" t="str">
        <f t="shared" si="30"/>
        <v/>
      </c>
      <c r="U53" s="97">
        <f t="shared" si="31"/>
        <v>1.4623283176846576E-2</v>
      </c>
      <c r="V53" s="103" t="str">
        <f t="shared" si="32"/>
        <v/>
      </c>
      <c r="W53" s="103" t="str">
        <f t="shared" si="33"/>
        <v/>
      </c>
      <c r="X53" s="132">
        <f t="shared" si="34"/>
        <v>9.0202334322078657E-3</v>
      </c>
    </row>
    <row r="54" spans="1:24">
      <c r="A54" s="131">
        <v>4.7320000000000001E-3</v>
      </c>
      <c r="B54" s="131">
        <v>0.61835899999999999</v>
      </c>
      <c r="C54" s="131">
        <v>6.2371000000000003E-2</v>
      </c>
      <c r="D54" s="132">
        <f t="shared" si="19"/>
        <v>0.61494550859999997</v>
      </c>
      <c r="E54" s="132">
        <f t="shared" si="35"/>
        <v>-18.221153846153669</v>
      </c>
      <c r="F54" s="100">
        <f t="shared" si="20"/>
        <v>245793336222779.5</v>
      </c>
      <c r="G54" s="100">
        <f>IF(WaferType="p-type",n_intr_boltzmann(0,SampleDoping,F54,298.15),n_intr_boltzmann(SampleDoping,0,F54,298.15))</f>
        <v>8880188769.8133087</v>
      </c>
      <c r="H54" s="100">
        <f t="shared" si="21"/>
        <v>245793336222779.5</v>
      </c>
      <c r="I54" s="100">
        <f t="shared" si="36"/>
        <v>-1.687593190229704E+17</v>
      </c>
      <c r="J54" s="132">
        <f t="shared" si="22"/>
        <v>0.58215246316231128</v>
      </c>
      <c r="K54" s="132">
        <f t="shared" si="23"/>
        <v>0.594598771200603</v>
      </c>
      <c r="L54" s="132">
        <f t="shared" si="24"/>
        <v>0.594598771200603</v>
      </c>
      <c r="M54" s="132">
        <f>IF(A54&lt;$E$6,"",calcfit(Jo_1,Jo_2,Rshunt,Jsc,D54))</f>
        <v>0.61944113246571542</v>
      </c>
      <c r="N54" s="100">
        <f t="shared" si="25"/>
        <v>1.6083688961426098E-3</v>
      </c>
      <c r="O54" s="100">
        <f t="shared" si="37"/>
        <v>3.0487293948823661E-5</v>
      </c>
      <c r="P54" s="103" t="str">
        <f t="shared" si="26"/>
        <v/>
      </c>
      <c r="Q54" s="103" t="str">
        <f t="shared" si="27"/>
        <v/>
      </c>
      <c r="R54" s="103" t="str">
        <f t="shared" si="28"/>
        <v/>
      </c>
      <c r="S54" s="103" t="str">
        <f t="shared" si="29"/>
        <v/>
      </c>
      <c r="T54" s="103" t="str">
        <f t="shared" si="30"/>
        <v/>
      </c>
      <c r="U54" s="97">
        <f t="shared" si="31"/>
        <v>1.5852404249742821E-2</v>
      </c>
      <c r="V54" s="103" t="str">
        <f t="shared" si="32"/>
        <v/>
      </c>
      <c r="W54" s="103" t="str">
        <f t="shared" si="33"/>
        <v/>
      </c>
      <c r="X54" s="132">
        <f t="shared" si="34"/>
        <v>9.7483647938908999E-3</v>
      </c>
    </row>
    <row r="55" spans="1:24">
      <c r="A55" s="131">
        <v>4.836E-3</v>
      </c>
      <c r="B55" s="131">
        <v>0.61639699999999997</v>
      </c>
      <c r="C55" s="131">
        <v>5.9281E-2</v>
      </c>
      <c r="D55" s="132">
        <f t="shared" si="19"/>
        <v>0.61298350859999995</v>
      </c>
      <c r="E55" s="132">
        <f t="shared" si="35"/>
        <v>-18.865384615384816</v>
      </c>
      <c r="F55" s="100">
        <f t="shared" si="20"/>
        <v>228258452403197</v>
      </c>
      <c r="G55" s="100">
        <f>IF(WaferType="p-type",n_intr_boltzmann(0,SampleDoping,F55,298.15),n_intr_boltzmann(SampleDoping,0,F55,298.15))</f>
        <v>8879732285.7244225</v>
      </c>
      <c r="H55" s="100">
        <f t="shared" si="21"/>
        <v>228258452403197</v>
      </c>
      <c r="I55" s="100">
        <f t="shared" si="36"/>
        <v>-1.626195559571761E+17</v>
      </c>
      <c r="J55" s="132">
        <f t="shared" si="22"/>
        <v>0.55331131725842098</v>
      </c>
      <c r="K55" s="132">
        <f t="shared" si="23"/>
        <v>0.56530480655555271</v>
      </c>
      <c r="L55" s="132">
        <f t="shared" si="24"/>
        <v>0.56530480655555271</v>
      </c>
      <c r="M55" s="132">
        <f>IF(A55&lt;$E$6,"",calcfit(Jo_1,Jo_2,Rshunt,Jsc,D55))</f>
        <v>0.58965572059151028</v>
      </c>
      <c r="N55" s="100">
        <f t="shared" si="25"/>
        <v>1.705428445972511E-3</v>
      </c>
      <c r="O55" s="100">
        <f t="shared" si="37"/>
        <v>2.9779470495550052E-5</v>
      </c>
      <c r="P55" s="103" t="str">
        <f t="shared" si="26"/>
        <v/>
      </c>
      <c r="Q55" s="103" t="str">
        <f t="shared" si="27"/>
        <v/>
      </c>
      <c r="R55" s="103" t="str">
        <f t="shared" si="28"/>
        <v/>
      </c>
      <c r="S55" s="103" t="str">
        <f t="shared" si="29"/>
        <v/>
      </c>
      <c r="T55" s="103" t="str">
        <f t="shared" si="30"/>
        <v/>
      </c>
      <c r="U55" s="97">
        <f t="shared" si="31"/>
        <v>1.6997886149258221E-2</v>
      </c>
      <c r="V55" s="103" t="str">
        <f t="shared" si="32"/>
        <v/>
      </c>
      <c r="W55" s="103" t="str">
        <f t="shared" si="33"/>
        <v/>
      </c>
      <c r="X55" s="132">
        <f t="shared" si="34"/>
        <v>1.0419423890555647E-2</v>
      </c>
    </row>
    <row r="56" spans="1:24">
      <c r="A56" s="131">
        <v>4.9399999999999999E-3</v>
      </c>
      <c r="B56" s="131">
        <v>0.61445399999999994</v>
      </c>
      <c r="C56" s="131">
        <v>5.6333000000000001E-2</v>
      </c>
      <c r="D56" s="132">
        <f t="shared" si="19"/>
        <v>0.61104050859999992</v>
      </c>
      <c r="E56" s="132">
        <f t="shared" si="35"/>
        <v>-18.682692307692591</v>
      </c>
      <c r="F56" s="100">
        <f t="shared" si="20"/>
        <v>212093393151240</v>
      </c>
      <c r="G56" s="100">
        <f>IF(WaferType="p-type",n_intr_boltzmann(0,SampleDoping,F56,298.15),n_intr_boltzmann(SampleDoping,0,F56,298.15))</f>
        <v>8879312370.4345837</v>
      </c>
      <c r="H56" s="100">
        <f t="shared" si="21"/>
        <v>212093393151240</v>
      </c>
      <c r="I56" s="100">
        <f t="shared" si="36"/>
        <v>-1.4994649451995462E+17</v>
      </c>
      <c r="J56" s="132">
        <f t="shared" si="22"/>
        <v>0.52579555734752492</v>
      </c>
      <c r="K56" s="132">
        <f t="shared" si="23"/>
        <v>0.53685438521470397</v>
      </c>
      <c r="L56" s="132">
        <f t="shared" si="24"/>
        <v>0.53685438521470397</v>
      </c>
      <c r="M56" s="132">
        <f>IF(A56&lt;$E$6,"",calcfit(Jo_1,Jo_2,Rshunt,Jsc,D56))</f>
        <v>0.56180206527253385</v>
      </c>
      <c r="N56" s="100">
        <f t="shared" si="25"/>
        <v>1.9719398737974431E-3</v>
      </c>
      <c r="O56" s="100">
        <f t="shared" si="37"/>
        <v>2.9136904887515379E-5</v>
      </c>
      <c r="P56" s="103" t="str">
        <f t="shared" si="26"/>
        <v/>
      </c>
      <c r="Q56" s="103" t="str">
        <f t="shared" si="27"/>
        <v/>
      </c>
      <c r="R56" s="103" t="str">
        <f t="shared" si="28"/>
        <v/>
      </c>
      <c r="S56" s="103" t="str">
        <f t="shared" si="29"/>
        <v/>
      </c>
      <c r="T56" s="103" t="str">
        <f t="shared" si="30"/>
        <v/>
      </c>
      <c r="U56" s="97">
        <f t="shared" si="31"/>
        <v>1.8110382974949431E-2</v>
      </c>
      <c r="V56" s="103" t="str">
        <f t="shared" si="32"/>
        <v/>
      </c>
      <c r="W56" s="103" t="str">
        <f t="shared" si="33"/>
        <v/>
      </c>
      <c r="X56" s="132">
        <f t="shared" si="34"/>
        <v>1.106617762395388E-2</v>
      </c>
    </row>
    <row r="57" spans="1:24">
      <c r="A57" s="131">
        <v>5.0439999999999999E-3</v>
      </c>
      <c r="B57" s="131">
        <v>0.61249399999999998</v>
      </c>
      <c r="C57" s="131">
        <v>5.3561999999999999E-2</v>
      </c>
      <c r="D57" s="132">
        <f t="shared" si="19"/>
        <v>0.60908050859999996</v>
      </c>
      <c r="E57" s="132">
        <f t="shared" si="35"/>
        <v>-18.846153846153491</v>
      </c>
      <c r="F57" s="100">
        <f t="shared" si="20"/>
        <v>196917438585352</v>
      </c>
      <c r="G57" s="100">
        <f>IF(WaferType="p-type",n_intr_boltzmann(0,SampleDoping,F57,298.15),n_intr_boltzmann(SampleDoping,0,F57,298.15))</f>
        <v>8878918957.2354984</v>
      </c>
      <c r="H57" s="100">
        <f t="shared" si="21"/>
        <v>196917438585352</v>
      </c>
      <c r="I57" s="100">
        <f t="shared" si="36"/>
        <v>-1.4070738065948194E+17</v>
      </c>
      <c r="J57" s="132">
        <f t="shared" si="22"/>
        <v>0.4999318630757838</v>
      </c>
      <c r="K57" s="132">
        <f t="shared" si="23"/>
        <v>0.51030928941933706</v>
      </c>
      <c r="L57" s="132">
        <f t="shared" si="24"/>
        <v>0.51030928941933706</v>
      </c>
      <c r="M57" s="132">
        <f>IF(A57&lt;$E$6,"",calcfit(Jo_1,Jo_2,Rshunt,Jsc,D57))</f>
        <v>0.53525930690644696</v>
      </c>
      <c r="N57" s="100">
        <f t="shared" si="25"/>
        <v>2.1727674869124153E-3</v>
      </c>
      <c r="O57" s="100">
        <f t="shared" si="37"/>
        <v>2.8459252244706906E-5</v>
      </c>
      <c r="P57" s="103" t="str">
        <f t="shared" si="26"/>
        <v/>
      </c>
      <c r="Q57" s="103" t="str">
        <f t="shared" si="27"/>
        <v/>
      </c>
      <c r="R57" s="103" t="str">
        <f t="shared" si="28"/>
        <v/>
      </c>
      <c r="S57" s="103" t="str">
        <f t="shared" si="29"/>
        <v/>
      </c>
      <c r="T57" s="103" t="str">
        <f t="shared" si="30"/>
        <v/>
      </c>
      <c r="U57" s="97">
        <f t="shared" si="31"/>
        <v>1.9148375855835661E-2</v>
      </c>
      <c r="V57" s="103" t="str">
        <f t="shared" si="32"/>
        <v/>
      </c>
      <c r="W57" s="103" t="str">
        <f t="shared" si="33"/>
        <v/>
      </c>
      <c r="X57" s="132">
        <f t="shared" si="34"/>
        <v>1.1662902505136344E-2</v>
      </c>
    </row>
    <row r="58" spans="1:24">
      <c r="A58" s="131">
        <v>5.1479999999999998E-3</v>
      </c>
      <c r="B58" s="131">
        <v>0.61050599999999999</v>
      </c>
      <c r="C58" s="131">
        <v>5.0918999999999999E-2</v>
      </c>
      <c r="D58" s="132">
        <f t="shared" si="19"/>
        <v>0.60709250859999997</v>
      </c>
      <c r="E58" s="132">
        <f t="shared" si="35"/>
        <v>-19.115384615384531</v>
      </c>
      <c r="F58" s="100">
        <f t="shared" si="20"/>
        <v>182607626370304</v>
      </c>
      <c r="G58" s="100">
        <f>IF(WaferType="p-type",n_intr_boltzmann(0,SampleDoping,F58,298.15),n_intr_boltzmann(SampleDoping,0,F58,298.15))</f>
        <v>8878548727.4380493</v>
      </c>
      <c r="H58" s="100">
        <f t="shared" si="21"/>
        <v>182607626370304</v>
      </c>
      <c r="I58" s="100">
        <f t="shared" si="36"/>
        <v>-1.3258942106051002E+17</v>
      </c>
      <c r="J58" s="132">
        <f t="shared" si="22"/>
        <v>0.47526288293857283</v>
      </c>
      <c r="K58" s="132">
        <f t="shared" si="23"/>
        <v>0.48504159493321686</v>
      </c>
      <c r="L58" s="132">
        <f t="shared" si="24"/>
        <v>0.48504159493321686</v>
      </c>
      <c r="M58" s="132">
        <f>IF(A58&lt;$E$6,"",calcfit(Jo_1,Jo_2,Rshunt,Jsc,D58))</f>
        <v>0.50983399794032391</v>
      </c>
      <c r="N58" s="100">
        <f t="shared" si="25"/>
        <v>2.3647196501426723E-3</v>
      </c>
      <c r="O58" s="100">
        <f t="shared" si="37"/>
        <v>2.7765960984656559E-5</v>
      </c>
      <c r="P58" s="103" t="str">
        <f t="shared" si="26"/>
        <v/>
      </c>
      <c r="Q58" s="103" t="str">
        <f t="shared" si="27"/>
        <v/>
      </c>
      <c r="R58" s="103" t="str">
        <f t="shared" si="28"/>
        <v/>
      </c>
      <c r="S58" s="103" t="str">
        <f t="shared" si="29"/>
        <v/>
      </c>
      <c r="T58" s="103" t="str">
        <f t="shared" si="30"/>
        <v/>
      </c>
      <c r="U58" s="97">
        <f t="shared" si="31"/>
        <v>2.0136418513326419E-2</v>
      </c>
      <c r="V58" s="103" t="str">
        <f t="shared" si="32"/>
        <v/>
      </c>
      <c r="W58" s="103" t="str">
        <f t="shared" si="33"/>
        <v/>
      </c>
      <c r="X58" s="132">
        <f t="shared" si="34"/>
        <v>1.2224668829474818E-2</v>
      </c>
    </row>
    <row r="59" spans="1:24">
      <c r="A59" s="131">
        <v>5.2519999999999997E-3</v>
      </c>
      <c r="B59" s="131">
        <v>0.60850800000000005</v>
      </c>
      <c r="C59" s="131">
        <v>4.8426999999999998E-2</v>
      </c>
      <c r="D59" s="132">
        <f t="shared" si="19"/>
        <v>0.60509450860000003</v>
      </c>
      <c r="E59" s="132">
        <f t="shared" si="35"/>
        <v>-19.211538461537941</v>
      </c>
      <c r="F59" s="100">
        <f t="shared" si="20"/>
        <v>169250601746902.5</v>
      </c>
      <c r="G59" s="100">
        <f>IF(WaferType="p-type",n_intr_boltzmann(0,SampleDoping,F59,298.15),n_intr_boltzmann(SampleDoping,0,F59,298.15))</f>
        <v>8878203798.5913544</v>
      </c>
      <c r="H59" s="100">
        <f t="shared" si="21"/>
        <v>169250601746902.5</v>
      </c>
      <c r="I59" s="100">
        <f t="shared" si="36"/>
        <v>-1.2372210306752523E+17</v>
      </c>
      <c r="J59" s="132">
        <f t="shared" si="22"/>
        <v>0.45200329213194024</v>
      </c>
      <c r="K59" s="132">
        <f t="shared" si="23"/>
        <v>0.46112802322731816</v>
      </c>
      <c r="L59" s="132">
        <f t="shared" si="24"/>
        <v>0.46112802322731816</v>
      </c>
      <c r="M59" s="132">
        <f>IF(A59&lt;$E$6,"",calcfit(Jo_1,Jo_2,Rshunt,Jsc,D59))</f>
        <v>0.48570540929358053</v>
      </c>
      <c r="N59" s="100">
        <f t="shared" si="25"/>
        <v>2.5605042590786846E-3</v>
      </c>
      <c r="O59" s="100">
        <f t="shared" si="37"/>
        <v>2.7069578095059074E-5</v>
      </c>
      <c r="P59" s="103" t="str">
        <f t="shared" si="26"/>
        <v/>
      </c>
      <c r="Q59" s="103" t="str">
        <f t="shared" si="27"/>
        <v/>
      </c>
      <c r="R59" s="103" t="str">
        <f t="shared" si="28"/>
        <v/>
      </c>
      <c r="S59" s="103" t="str">
        <f t="shared" si="29"/>
        <v/>
      </c>
      <c r="T59" s="103" t="str">
        <f t="shared" si="30"/>
        <v/>
      </c>
      <c r="U59" s="97">
        <f t="shared" si="31"/>
        <v>2.1071510907742178E-2</v>
      </c>
      <c r="V59" s="103" t="str">
        <f t="shared" si="32"/>
        <v/>
      </c>
      <c r="W59" s="103" t="str">
        <f t="shared" si="33"/>
        <v/>
      </c>
      <c r="X59" s="132">
        <f t="shared" si="34"/>
        <v>1.2750255538179794E-2</v>
      </c>
    </row>
    <row r="60" spans="1:24">
      <c r="A60" s="131">
        <v>5.3559999999999997E-3</v>
      </c>
      <c r="B60" s="131">
        <v>0.60652499999999998</v>
      </c>
      <c r="C60" s="131">
        <v>4.6063E-2</v>
      </c>
      <c r="D60" s="132">
        <f t="shared" si="19"/>
        <v>0.60311150859999996</v>
      </c>
      <c r="E60" s="132">
        <f t="shared" si="35"/>
        <v>-19.067307692308361</v>
      </c>
      <c r="F60" s="100">
        <f t="shared" si="20"/>
        <v>156940437200714.5</v>
      </c>
      <c r="G60" s="100">
        <f>IF(WaferType="p-type",n_intr_boltzmann(0,SampleDoping,F60,298.15),n_intr_boltzmann(SampleDoping,0,F60,298.15))</f>
        <v>8877886467.9215469</v>
      </c>
      <c r="H60" s="100">
        <f t="shared" si="21"/>
        <v>156940437200714.5</v>
      </c>
      <c r="I60" s="100">
        <f t="shared" si="36"/>
        <v>-1.1404390734349626E+17</v>
      </c>
      <c r="J60" s="132">
        <f t="shared" si="22"/>
        <v>0.4299384154598378</v>
      </c>
      <c r="K60" s="132">
        <f t="shared" si="23"/>
        <v>0.43834936194211388</v>
      </c>
      <c r="L60" s="132">
        <f t="shared" si="24"/>
        <v>0.43834936194211388</v>
      </c>
      <c r="M60" s="132">
        <f>IF(A60&lt;$E$6,"",calcfit(Jo_1,Jo_2,Rshunt,Jsc,D60))</f>
        <v>0.46308279242568395</v>
      </c>
      <c r="N60" s="100">
        <f t="shared" si="25"/>
        <v>2.8526692842637132E-3</v>
      </c>
      <c r="O60" s="100">
        <f t="shared" si="37"/>
        <v>2.6405066187227393E-5</v>
      </c>
      <c r="P60" s="103" t="str">
        <f t="shared" si="26"/>
        <v/>
      </c>
      <c r="Q60" s="103" t="str">
        <f t="shared" si="27"/>
        <v/>
      </c>
      <c r="R60" s="103" t="str">
        <f t="shared" si="28"/>
        <v/>
      </c>
      <c r="S60" s="103" t="str">
        <f t="shared" si="29"/>
        <v/>
      </c>
      <c r="T60" s="103" t="str">
        <f t="shared" si="30"/>
        <v/>
      </c>
      <c r="U60" s="97">
        <f t="shared" si="31"/>
        <v>2.1962224899977519E-2</v>
      </c>
      <c r="V60" s="103" t="str">
        <f t="shared" si="32"/>
        <v/>
      </c>
      <c r="W60" s="103" t="str">
        <f t="shared" si="33"/>
        <v/>
      </c>
      <c r="X60" s="132">
        <f t="shared" si="34"/>
        <v>1.3245670591637924E-2</v>
      </c>
    </row>
    <row r="61" spans="1:24">
      <c r="A61" s="131">
        <v>5.4599999999999996E-3</v>
      </c>
      <c r="B61" s="131">
        <v>0.60450400000000004</v>
      </c>
      <c r="C61" s="131">
        <v>4.3830000000000001E-2</v>
      </c>
      <c r="D61" s="132">
        <f t="shared" si="19"/>
        <v>0.60109050860000002</v>
      </c>
      <c r="E61" s="132">
        <f t="shared" si="35"/>
        <v>-19.432692307691742</v>
      </c>
      <c r="F61" s="100">
        <f t="shared" si="20"/>
        <v>145297788444245</v>
      </c>
      <c r="G61" s="100">
        <f>IF(WaferType="p-type",n_intr_boltzmann(0,SampleDoping,F61,298.15),n_intr_boltzmann(SampleDoping,0,F61,298.15))</f>
        <v>8877586849.5059624</v>
      </c>
      <c r="H61" s="100">
        <f t="shared" si="21"/>
        <v>145297788444245</v>
      </c>
      <c r="I61" s="100">
        <f t="shared" si="36"/>
        <v>-1.0777011424993106E+17</v>
      </c>
      <c r="J61" s="132">
        <f t="shared" si="22"/>
        <v>0.40909625403479344</v>
      </c>
      <c r="K61" s="132">
        <f t="shared" si="23"/>
        <v>0.41704449681653849</v>
      </c>
      <c r="L61" s="132">
        <f t="shared" si="24"/>
        <v>0.41704449681653849</v>
      </c>
      <c r="M61" s="132">
        <f>IF(A61&lt;$E$6,"",calcfit(Jo_1,Jo_2,Rshunt,Jsc,D61))</f>
        <v>0.44130070194623794</v>
      </c>
      <c r="N61" s="100">
        <f t="shared" si="25"/>
        <v>3.0211791365346561E-3</v>
      </c>
      <c r="O61" s="100">
        <f t="shared" si="37"/>
        <v>2.5695045455442016E-5</v>
      </c>
      <c r="P61" s="103" t="str">
        <f t="shared" si="26"/>
        <v/>
      </c>
      <c r="Q61" s="103" t="str">
        <f t="shared" si="27"/>
        <v/>
      </c>
      <c r="R61" s="103" t="str">
        <f t="shared" si="28"/>
        <v/>
      </c>
      <c r="S61" s="103" t="str">
        <f t="shared" si="29"/>
        <v/>
      </c>
      <c r="T61" s="103" t="str">
        <f t="shared" si="30"/>
        <v/>
      </c>
      <c r="U61" s="97">
        <f t="shared" si="31"/>
        <v>2.2795309040982894E-2</v>
      </c>
      <c r="V61" s="103" t="str">
        <f t="shared" si="32"/>
        <v/>
      </c>
      <c r="W61" s="103" t="str">
        <f t="shared" si="33"/>
        <v/>
      </c>
      <c r="X61" s="132">
        <f t="shared" si="34"/>
        <v>1.3702043905138586E-2</v>
      </c>
    </row>
    <row r="62" spans="1:24">
      <c r="A62" s="131">
        <v>5.5640000000000004E-3</v>
      </c>
      <c r="B62" s="131">
        <v>0.60248100000000004</v>
      </c>
      <c r="C62" s="131">
        <v>4.1721000000000001E-2</v>
      </c>
      <c r="D62" s="132">
        <f t="shared" si="19"/>
        <v>0.59906750860000002</v>
      </c>
      <c r="E62" s="132">
        <f t="shared" si="35"/>
        <v>-19.451923076922899</v>
      </c>
      <c r="F62" s="100">
        <f t="shared" si="20"/>
        <v>134493383029695.5</v>
      </c>
      <c r="G62" s="100">
        <f>IF(WaferType="p-type",n_intr_boltzmann(0,SampleDoping,F62,298.15),n_intr_boltzmann(SampleDoping,0,F62,298.15))</f>
        <v>8877309247.8214626</v>
      </c>
      <c r="H62" s="100">
        <f t="shared" si="21"/>
        <v>134493383029695.5</v>
      </c>
      <c r="I62" s="100">
        <f t="shared" si="36"/>
        <v>-9.9996244280827392E+16</v>
      </c>
      <c r="J62" s="132">
        <f t="shared" si="22"/>
        <v>0.38941147192757514</v>
      </c>
      <c r="K62" s="132">
        <f t="shared" si="23"/>
        <v>0.39678637759913715</v>
      </c>
      <c r="L62" s="132">
        <f t="shared" si="24"/>
        <v>0.39678637759913715</v>
      </c>
      <c r="M62" s="132">
        <f>IF(A62&lt;$E$6,"",calcfit(Jo_1,Jo_2,Rshunt,Jsc,D62))</f>
        <v>0.42070556072228049</v>
      </c>
      <c r="N62" s="100">
        <f t="shared" si="25"/>
        <v>3.2324825024843246E-3</v>
      </c>
      <c r="O62" s="100">
        <f t="shared" si="37"/>
        <v>2.4998672403317847E-5</v>
      </c>
      <c r="P62" s="103" t="str">
        <f t="shared" si="26"/>
        <v/>
      </c>
      <c r="Q62" s="103" t="str">
        <f t="shared" si="27"/>
        <v/>
      </c>
      <c r="R62" s="103" t="str">
        <f t="shared" si="28"/>
        <v/>
      </c>
      <c r="S62" s="103" t="str">
        <f t="shared" si="29"/>
        <v/>
      </c>
      <c r="T62" s="103" t="str">
        <f t="shared" si="30"/>
        <v/>
      </c>
      <c r="U62" s="97">
        <f t="shared" si="31"/>
        <v>2.3587462276740939E-2</v>
      </c>
      <c r="V62" s="103" t="str">
        <f t="shared" si="32"/>
        <v/>
      </c>
      <c r="W62" s="103" t="str">
        <f t="shared" si="33"/>
        <v/>
      </c>
      <c r="X62" s="132">
        <f t="shared" si="34"/>
        <v>1.4130482260323679E-2</v>
      </c>
    </row>
    <row r="63" spans="1:24">
      <c r="A63" s="131">
        <v>5.6680000000000003E-3</v>
      </c>
      <c r="B63" s="131">
        <v>0.60042300000000004</v>
      </c>
      <c r="C63" s="131">
        <v>3.9697999999999997E-2</v>
      </c>
      <c r="D63" s="132">
        <f t="shared" si="19"/>
        <v>0.59700950860000002</v>
      </c>
      <c r="E63" s="132">
        <f t="shared" si="35"/>
        <v>-19.788461538461593</v>
      </c>
      <c r="F63" s="100">
        <f t="shared" si="20"/>
        <v>124312631859148</v>
      </c>
      <c r="G63" s="100">
        <f>IF(WaferType="p-type",n_intr_boltzmann(0,SampleDoping,F63,298.15),n_intr_boltzmann(SampleDoping,0,F63,298.15))</f>
        <v>8877048066.4856148</v>
      </c>
      <c r="H63" s="100">
        <f t="shared" si="21"/>
        <v>124312631859148</v>
      </c>
      <c r="I63" s="100">
        <f t="shared" si="36"/>
        <v>-9.415175073953576E+16</v>
      </c>
      <c r="J63" s="132">
        <f t="shared" si="22"/>
        <v>0.37052938837949417</v>
      </c>
      <c r="K63" s="132">
        <f t="shared" si="23"/>
        <v>0.37747325197667558</v>
      </c>
      <c r="L63" s="132">
        <f t="shared" si="24"/>
        <v>0.37747325197667558</v>
      </c>
      <c r="M63" s="132">
        <f>IF(A63&lt;$E$6,"",calcfit(Jo_1,Jo_2,Rshunt,Jsc,D63))</f>
        <v>0.40091765298213428</v>
      </c>
      <c r="N63" s="100">
        <f t="shared" si="25"/>
        <v>3.4195418545545863E-3</v>
      </c>
      <c r="O63" s="100">
        <f t="shared" si="37"/>
        <v>2.4288565148458585E-5</v>
      </c>
      <c r="P63" s="103" t="str">
        <f t="shared" si="26"/>
        <v/>
      </c>
      <c r="Q63" s="103" t="str">
        <f t="shared" si="27"/>
        <v/>
      </c>
      <c r="R63" s="103" t="str">
        <f t="shared" si="28"/>
        <v/>
      </c>
      <c r="S63" s="103" t="str">
        <f t="shared" si="29"/>
        <v/>
      </c>
      <c r="T63" s="103" t="str">
        <f t="shared" si="30"/>
        <v/>
      </c>
      <c r="U63" s="97">
        <f t="shared" si="31"/>
        <v>2.4342663427956053E-2</v>
      </c>
      <c r="V63" s="103" t="str">
        <f t="shared" si="32"/>
        <v/>
      </c>
      <c r="W63" s="103" t="str">
        <f t="shared" si="33"/>
        <v/>
      </c>
      <c r="X63" s="132">
        <f t="shared" si="34"/>
        <v>1.4532801531139235E-2</v>
      </c>
    </row>
    <row r="64" spans="1:24">
      <c r="A64" s="131">
        <v>5.7720000000000002E-3</v>
      </c>
      <c r="B64" s="131">
        <v>0.59835400000000005</v>
      </c>
      <c r="C64" s="131">
        <v>3.7798999999999999E-2</v>
      </c>
      <c r="D64" s="132">
        <f t="shared" si="19"/>
        <v>0.59494050860000003</v>
      </c>
      <c r="E64" s="132">
        <f t="shared" si="35"/>
        <v>-19.894230769230667</v>
      </c>
      <c r="F64" s="100">
        <f t="shared" si="20"/>
        <v>114842442247776</v>
      </c>
      <c r="G64" s="100">
        <f>IF(WaferType="p-type",n_intr_boltzmann(0,SampleDoping,F64,298.15),n_intr_boltzmann(SampleDoping,0,F64,298.15))</f>
        <v>8876805463.3397121</v>
      </c>
      <c r="H64" s="100">
        <f t="shared" si="21"/>
        <v>114842442247776</v>
      </c>
      <c r="I64" s="100">
        <f t="shared" si="36"/>
        <v>-8.7553430252058016E+16</v>
      </c>
      <c r="J64" s="132">
        <f t="shared" si="22"/>
        <v>0.35280468414923927</v>
      </c>
      <c r="K64" s="132">
        <f t="shared" si="23"/>
        <v>0.35926190955779808</v>
      </c>
      <c r="L64" s="132">
        <f t="shared" si="24"/>
        <v>0.35926190955779808</v>
      </c>
      <c r="M64" s="132">
        <f>IF(A64&lt;$E$6,"",calcfit(Jo_1,Jo_2,Rshunt,Jsc,D64))</f>
        <v>0.38213326751921717</v>
      </c>
      <c r="N64" s="100">
        <f t="shared" si="25"/>
        <v>3.5822361026902525E-3</v>
      </c>
      <c r="O64" s="100">
        <f t="shared" si="37"/>
        <v>2.3575669072508748E-5</v>
      </c>
      <c r="P64" s="103" t="str">
        <f t="shared" si="26"/>
        <v/>
      </c>
      <c r="Q64" s="103" t="str">
        <f t="shared" si="27"/>
        <v/>
      </c>
      <c r="R64" s="103" t="str">
        <f t="shared" si="28"/>
        <v/>
      </c>
      <c r="S64" s="103" t="str">
        <f t="shared" si="29"/>
        <v/>
      </c>
      <c r="T64" s="103" t="str">
        <f t="shared" si="30"/>
        <v/>
      </c>
      <c r="U64" s="97">
        <f t="shared" si="31"/>
        <v>2.5054781550561425E-2</v>
      </c>
      <c r="V64" s="103" t="str">
        <f t="shared" si="32"/>
        <v/>
      </c>
      <c r="W64" s="103" t="str">
        <f t="shared" si="33"/>
        <v/>
      </c>
      <c r="X64" s="132">
        <f t="shared" si="34"/>
        <v>1.4906104478552911E-2</v>
      </c>
    </row>
    <row r="65" spans="1:24">
      <c r="A65" s="131">
        <v>5.8760000000000001E-3</v>
      </c>
      <c r="B65" s="131">
        <v>0.59624699999999997</v>
      </c>
      <c r="C65" s="131">
        <v>3.5971000000000003E-2</v>
      </c>
      <c r="D65" s="132">
        <f t="shared" si="19"/>
        <v>0.59283350859999995</v>
      </c>
      <c r="E65" s="132">
        <f t="shared" si="35"/>
        <v>-20.259615384616179</v>
      </c>
      <c r="F65" s="100">
        <f t="shared" si="20"/>
        <v>105929020674721.5</v>
      </c>
      <c r="G65" s="100">
        <f>IF(WaferType="p-type",n_intr_boltzmann(0,SampleDoping,F65,298.15),n_intr_boltzmann(SampleDoping,0,F65,298.15))</f>
        <v>8876577433.6375599</v>
      </c>
      <c r="H65" s="100">
        <f t="shared" si="21"/>
        <v>105929020674721.5</v>
      </c>
      <c r="I65" s="100">
        <f t="shared" si="36"/>
        <v>-8.2338366233590608E+16</v>
      </c>
      <c r="J65" s="132">
        <f t="shared" si="22"/>
        <v>0.33574267291548154</v>
      </c>
      <c r="K65" s="132">
        <f t="shared" si="23"/>
        <v>0.34181527782670107</v>
      </c>
      <c r="L65" s="132">
        <f t="shared" si="24"/>
        <v>0.34181527782670107</v>
      </c>
      <c r="M65" s="132">
        <f>IF(A65&lt;$E$6,"",calcfit(Jo_1,Jo_2,Rshunt,Jsc,D65))</f>
        <v>0.36407524707490879</v>
      </c>
      <c r="N65" s="100">
        <f t="shared" si="25"/>
        <v>3.7382368496720682E-3</v>
      </c>
      <c r="O65" s="100">
        <f t="shared" si="37"/>
        <v>2.2855791634751957E-5</v>
      </c>
      <c r="P65" s="103" t="str">
        <f t="shared" si="26"/>
        <v/>
      </c>
      <c r="Q65" s="103" t="str">
        <f t="shared" si="27"/>
        <v/>
      </c>
      <c r="R65" s="103" t="str">
        <f t="shared" si="28"/>
        <v/>
      </c>
      <c r="S65" s="103" t="str">
        <f t="shared" si="29"/>
        <v/>
      </c>
      <c r="T65" s="103" t="str">
        <f t="shared" si="30"/>
        <v/>
      </c>
      <c r="U65" s="97">
        <f t="shared" si="31"/>
        <v>2.5736997191142506E-2</v>
      </c>
      <c r="V65" s="103" t="str">
        <f t="shared" si="32"/>
        <v/>
      </c>
      <c r="W65" s="103" t="str">
        <f t="shared" si="33"/>
        <v/>
      </c>
      <c r="X65" s="132">
        <f t="shared" si="34"/>
        <v>1.5257754345653355E-2</v>
      </c>
    </row>
    <row r="66" spans="1:24">
      <c r="A66" s="131">
        <v>5.9800000000000001E-3</v>
      </c>
      <c r="B66" s="131">
        <v>0.59411099999999994</v>
      </c>
      <c r="C66" s="131">
        <v>3.4228000000000001E-2</v>
      </c>
      <c r="D66" s="132">
        <f t="shared" si="19"/>
        <v>0.59069750859999992</v>
      </c>
      <c r="E66" s="132">
        <f t="shared" si="35"/>
        <v>-20.53846153846181</v>
      </c>
      <c r="F66" s="100">
        <f t="shared" si="20"/>
        <v>97589672162748.5</v>
      </c>
      <c r="G66" s="100">
        <f>IF(WaferType="p-type",n_intr_boltzmann(0,SampleDoping,F66,298.15),n_intr_boltzmann(SampleDoping,0,F66,298.15))</f>
        <v>8876364365.2048206</v>
      </c>
      <c r="H66" s="100">
        <f t="shared" si="21"/>
        <v>97589672162748.5</v>
      </c>
      <c r="I66" s="100">
        <f t="shared" si="36"/>
        <v>-7.6985516930573904E+16</v>
      </c>
      <c r="J66" s="132">
        <f t="shared" si="22"/>
        <v>0.31947402653668516</v>
      </c>
      <c r="K66" s="132">
        <f t="shared" si="23"/>
        <v>0.32515184903414751</v>
      </c>
      <c r="L66" s="132">
        <f t="shared" si="24"/>
        <v>0.32515184903414751</v>
      </c>
      <c r="M66" s="132">
        <f>IF(A66&lt;$E$6,"",calcfit(Jo_1,Jo_2,Rshunt,Jsc,D66))</f>
        <v>0.34680257063331682</v>
      </c>
      <c r="N66" s="100">
        <f t="shared" si="25"/>
        <v>3.8974462562503995E-3</v>
      </c>
      <c r="O66" s="100">
        <f t="shared" si="37"/>
        <v>2.2135554828685441E-5</v>
      </c>
      <c r="P66" s="103" t="str">
        <f t="shared" si="26"/>
        <v/>
      </c>
      <c r="Q66" s="103" t="str">
        <f t="shared" si="27"/>
        <v/>
      </c>
      <c r="R66" s="103" t="str">
        <f t="shared" si="28"/>
        <v/>
      </c>
      <c r="S66" s="103" t="str">
        <f t="shared" si="29"/>
        <v/>
      </c>
      <c r="T66" s="103" t="str">
        <f t="shared" si="30"/>
        <v/>
      </c>
      <c r="U66" s="97">
        <f t="shared" si="31"/>
        <v>2.638858724721773E-2</v>
      </c>
      <c r="V66" s="103" t="str">
        <f t="shared" si="32"/>
        <v/>
      </c>
      <c r="W66" s="103" t="str">
        <f t="shared" si="33"/>
        <v/>
      </c>
      <c r="X66" s="132">
        <f t="shared" si="34"/>
        <v>1.5587672742405244E-2</v>
      </c>
    </row>
    <row r="67" spans="1:24">
      <c r="A67" s="131">
        <v>6.084E-3</v>
      </c>
      <c r="B67" s="131">
        <v>0.59194100000000005</v>
      </c>
      <c r="C67" s="131">
        <v>3.2558999999999998E-2</v>
      </c>
      <c r="D67" s="132">
        <f t="shared" si="19"/>
        <v>0.58852750860000003</v>
      </c>
      <c r="E67" s="132">
        <f t="shared" si="35"/>
        <v>-20.865384615383611</v>
      </c>
      <c r="F67" s="100">
        <f t="shared" si="20"/>
        <v>89781537736236</v>
      </c>
      <c r="G67" s="100">
        <f>IF(WaferType="p-type",n_intr_boltzmann(0,SampleDoping,F67,298.15),n_intr_boltzmann(SampleDoping,0,F67,298.15))</f>
        <v>8876165111.9169827</v>
      </c>
      <c r="H67" s="100">
        <f t="shared" si="21"/>
        <v>89781537736236</v>
      </c>
      <c r="I67" s="100">
        <f t="shared" si="36"/>
        <v>-7.202822238077492E+16</v>
      </c>
      <c r="J67" s="132">
        <f t="shared" si="22"/>
        <v>0.30389607426691395</v>
      </c>
      <c r="K67" s="132">
        <f t="shared" si="23"/>
        <v>0.30920828723620003</v>
      </c>
      <c r="L67" s="132">
        <f t="shared" si="24"/>
        <v>0.30920828723620003</v>
      </c>
      <c r="M67" s="132">
        <f>IF(A67&lt;$E$6,"",calcfit(Jo_1,Jo_2,Rshunt,Jsc,D67))</f>
        <v>0.33025299192077473</v>
      </c>
      <c r="N67" s="100">
        <f t="shared" si="25"/>
        <v>4.0606181358816577E-3</v>
      </c>
      <c r="O67" s="100">
        <f t="shared" si="37"/>
        <v>2.1414537316007858E-5</v>
      </c>
      <c r="P67" s="103" t="str">
        <f t="shared" si="26"/>
        <v/>
      </c>
      <c r="Q67" s="103" t="str">
        <f t="shared" si="27"/>
        <v/>
      </c>
      <c r="R67" s="103" t="str">
        <f t="shared" si="28"/>
        <v/>
      </c>
      <c r="S67" s="103" t="str">
        <f t="shared" si="29"/>
        <v/>
      </c>
      <c r="T67" s="103" t="str">
        <f t="shared" si="30"/>
        <v/>
      </c>
      <c r="U67" s="97">
        <f t="shared" si="31"/>
        <v>2.7012028344202868E-2</v>
      </c>
      <c r="V67" s="103" t="str">
        <f t="shared" si="32"/>
        <v/>
      </c>
      <c r="W67" s="103" t="str">
        <f t="shared" si="33"/>
        <v/>
      </c>
      <c r="X67" s="132">
        <f t="shared" si="34"/>
        <v>1.5897321743646296E-2</v>
      </c>
    </row>
    <row r="68" spans="1:24">
      <c r="A68" s="131">
        <v>6.1879999999999999E-3</v>
      </c>
      <c r="B68" s="131">
        <v>0.58977100000000005</v>
      </c>
      <c r="C68" s="131">
        <v>3.0955E-2</v>
      </c>
      <c r="D68" s="132">
        <f t="shared" si="19"/>
        <v>0.58635750860000002</v>
      </c>
      <c r="E68" s="132">
        <f t="shared" si="35"/>
        <v>-20.865384615384681</v>
      </c>
      <c r="F68" s="100">
        <f t="shared" si="20"/>
        <v>82591235852366</v>
      </c>
      <c r="G68" s="100">
        <f>IF(WaferType="p-type",n_intr_boltzmann(0,SampleDoping,F68,298.15),n_intr_boltzmann(SampleDoping,0,F68,298.15))</f>
        <v>8875981833.8893719</v>
      </c>
      <c r="H68" s="100">
        <f t="shared" si="21"/>
        <v>82591235852366</v>
      </c>
      <c r="I68" s="100">
        <f t="shared" si="36"/>
        <v>-6.6323453165772696E+16</v>
      </c>
      <c r="J68" s="132">
        <f t="shared" si="22"/>
        <v>0.28892481276858384</v>
      </c>
      <c r="K68" s="132">
        <f t="shared" si="23"/>
        <v>0.29381628858777736</v>
      </c>
      <c r="L68" s="132">
        <f t="shared" si="24"/>
        <v>0.29381628858777736</v>
      </c>
      <c r="M68" s="132">
        <f>IF(A68&lt;$E$6,"",calcfit(Jo_1,Jo_2,Rshunt,Jsc,D68))</f>
        <v>0.31464504059533221</v>
      </c>
      <c r="N68" s="100">
        <f t="shared" si="25"/>
        <v>4.3821245466670556E-3</v>
      </c>
      <c r="O68" s="100">
        <f t="shared" si="37"/>
        <v>2.0731507217588926E-5</v>
      </c>
      <c r="P68" s="103" t="str">
        <f t="shared" si="26"/>
        <v/>
      </c>
      <c r="Q68" s="103" t="str">
        <f t="shared" si="27"/>
        <v/>
      </c>
      <c r="R68" s="103" t="str">
        <f t="shared" si="28"/>
        <v/>
      </c>
      <c r="S68" s="103" t="str">
        <f t="shared" si="29"/>
        <v/>
      </c>
      <c r="T68" s="103" t="str">
        <f t="shared" si="30"/>
        <v/>
      </c>
      <c r="U68" s="97">
        <f t="shared" si="31"/>
        <v>2.7613901667352142E-2</v>
      </c>
      <c r="V68" s="103" t="str">
        <f t="shared" si="32"/>
        <v/>
      </c>
      <c r="W68" s="103" t="str">
        <f t="shared" si="33"/>
        <v/>
      </c>
      <c r="X68" s="132">
        <f t="shared" si="34"/>
        <v>1.6191618584393989E-2</v>
      </c>
    </row>
    <row r="69" spans="1:24">
      <c r="A69" s="131">
        <v>6.2919999999999998E-3</v>
      </c>
      <c r="B69" s="131">
        <v>0.58755299999999999</v>
      </c>
      <c r="C69" s="131">
        <v>2.945E-2</v>
      </c>
      <c r="D69" s="132">
        <f t="shared" si="19"/>
        <v>0.58413950859999997</v>
      </c>
      <c r="E69" s="132">
        <f t="shared" si="35"/>
        <v>-21.326923076923602</v>
      </c>
      <c r="F69" s="100">
        <f t="shared" si="20"/>
        <v>75830577580943</v>
      </c>
      <c r="G69" s="100">
        <f>IF(WaferType="p-type",n_intr_boltzmann(0,SampleDoping,F69,298.15),n_intr_boltzmann(SampleDoping,0,F69,298.15))</f>
        <v>8875809691.0790215</v>
      </c>
      <c r="H69" s="100">
        <f t="shared" si="21"/>
        <v>75830577580943</v>
      </c>
      <c r="I69" s="100">
        <f t="shared" si="36"/>
        <v>-6.2297843850004792E+16</v>
      </c>
      <c r="J69" s="132">
        <f t="shared" si="22"/>
        <v>0.27487758798367939</v>
      </c>
      <c r="K69" s="132">
        <f t="shared" si="23"/>
        <v>0.27947216776254791</v>
      </c>
      <c r="L69" s="132">
        <f t="shared" si="24"/>
        <v>0.27947216776254791</v>
      </c>
      <c r="M69" s="132">
        <f>IF(A69&lt;$E$6,"",calcfit(Jo_1,Jo_2,Rshunt,Jsc,D69))</f>
        <v>0.2996023945362325</v>
      </c>
      <c r="N69" s="100">
        <f t="shared" si="25"/>
        <v>4.5144700337532003E-3</v>
      </c>
      <c r="O69" s="100">
        <f t="shared" si="37"/>
        <v>2.0011451070631518E-5</v>
      </c>
      <c r="P69" s="103" t="str">
        <f t="shared" si="26"/>
        <v/>
      </c>
      <c r="Q69" s="103" t="str">
        <f t="shared" si="27"/>
        <v/>
      </c>
      <c r="R69" s="103" t="str">
        <f t="shared" si="28"/>
        <v/>
      </c>
      <c r="S69" s="103" t="str">
        <f t="shared" si="29"/>
        <v/>
      </c>
      <c r="T69" s="103" t="str">
        <f t="shared" si="30"/>
        <v/>
      </c>
      <c r="U69" s="97">
        <f t="shared" si="31"/>
        <v>2.8174799823981089E-2</v>
      </c>
      <c r="V69" s="103" t="str">
        <f t="shared" si="32"/>
        <v/>
      </c>
      <c r="W69" s="103" t="str">
        <f t="shared" si="33"/>
        <v/>
      </c>
      <c r="X69" s="132">
        <f t="shared" si="34"/>
        <v>1.6458013724083679E-2</v>
      </c>
    </row>
    <row r="70" spans="1:24">
      <c r="A70" s="131">
        <v>6.3959999999999998E-3</v>
      </c>
      <c r="B70" s="131">
        <v>0.58533000000000002</v>
      </c>
      <c r="C70" s="131">
        <v>2.8034E-2</v>
      </c>
      <c r="D70" s="132">
        <f t="shared" si="19"/>
        <v>0.58191650859999999</v>
      </c>
      <c r="E70" s="132">
        <f t="shared" si="35"/>
        <v>-21.374999999999776</v>
      </c>
      <c r="F70" s="100">
        <f t="shared" si="20"/>
        <v>69604729451746.5</v>
      </c>
      <c r="G70" s="100">
        <f>IF(WaferType="p-type",n_intr_boltzmann(0,SampleDoping,F70,298.15),n_intr_boltzmann(SampleDoping,0,F70,298.15))</f>
        <v>8875651324.0319786</v>
      </c>
      <c r="H70" s="100">
        <f t="shared" si="21"/>
        <v>69604729451746.5</v>
      </c>
      <c r="I70" s="100">
        <f t="shared" si="36"/>
        <v>-5.7359957597057312E+16</v>
      </c>
      <c r="J70" s="132">
        <f t="shared" si="22"/>
        <v>0.26166106287044033</v>
      </c>
      <c r="K70" s="132">
        <f t="shared" si="23"/>
        <v>0.26589146451847706</v>
      </c>
      <c r="L70" s="132">
        <f t="shared" si="24"/>
        <v>0.26589146451847706</v>
      </c>
      <c r="M70" s="132">
        <f>IF(A70&lt;$E$6,"",calcfit(Jo_1,Jo_2,Rshunt,Jsc,D70))</f>
        <v>0.2853900209013861</v>
      </c>
      <c r="N70" s="100">
        <f t="shared" si="25"/>
        <v>4.6679624165708467E-3</v>
      </c>
      <c r="O70" s="100">
        <f t="shared" si="37"/>
        <v>1.9306659385433507E-5</v>
      </c>
      <c r="P70" s="103" t="str">
        <f t="shared" si="26"/>
        <v/>
      </c>
      <c r="Q70" s="103" t="str">
        <f t="shared" si="27"/>
        <v/>
      </c>
      <c r="R70" s="103" t="str">
        <f t="shared" si="28"/>
        <v/>
      </c>
      <c r="S70" s="103" t="str">
        <f t="shared" si="29"/>
        <v/>
      </c>
      <c r="T70" s="103" t="str">
        <f t="shared" si="30"/>
        <v/>
      </c>
      <c r="U70" s="97">
        <f t="shared" si="31"/>
        <v>2.8705846062933988E-2</v>
      </c>
      <c r="V70" s="103" t="str">
        <f t="shared" si="32"/>
        <v/>
      </c>
      <c r="W70" s="103" t="str">
        <f t="shared" si="33"/>
        <v/>
      </c>
      <c r="X70" s="132">
        <f t="shared" si="34"/>
        <v>1.67044057173516E-2</v>
      </c>
    </row>
    <row r="71" spans="1:24">
      <c r="A71" s="131">
        <v>6.4999999999999997E-3</v>
      </c>
      <c r="B71" s="131">
        <v>0.58307900000000001</v>
      </c>
      <c r="C71" s="131">
        <v>2.6679000000000001E-2</v>
      </c>
      <c r="D71" s="132">
        <f t="shared" si="19"/>
        <v>0.57966550859999999</v>
      </c>
      <c r="E71" s="132">
        <f t="shared" si="35"/>
        <v>-21.644230769230816</v>
      </c>
      <c r="F71" s="100">
        <f t="shared" si="20"/>
        <v>63816656639357.5</v>
      </c>
      <c r="G71" s="100">
        <f>IF(WaferType="p-type",n_intr_boltzmann(0,SampleDoping,F71,298.15),n_intr_boltzmann(SampleDoping,0,F71,298.15))</f>
        <v>8875504229.1499729</v>
      </c>
      <c r="H71" s="100">
        <f t="shared" si="21"/>
        <v>63816656639357.5</v>
      </c>
      <c r="I71" s="100">
        <f t="shared" si="36"/>
        <v>-5.3294074232656168E+16</v>
      </c>
      <c r="J71" s="132">
        <f t="shared" si="22"/>
        <v>0.24901389371193827</v>
      </c>
      <c r="K71" s="132">
        <f t="shared" si="23"/>
        <v>0.25294442903499764</v>
      </c>
      <c r="L71" s="132">
        <f t="shared" si="24"/>
        <v>0.25294442903499764</v>
      </c>
      <c r="M71" s="132">
        <f>IF(A71&lt;$E$6,"",calcfit(Jo_1,Jo_2,Rshunt,Jsc,D71))</f>
        <v>0.27182317529979944</v>
      </c>
      <c r="N71" s="100">
        <f t="shared" si="25"/>
        <v>4.8236227657868329E-3</v>
      </c>
      <c r="O71" s="100">
        <f t="shared" si="37"/>
        <v>1.860722932046345E-5</v>
      </c>
      <c r="P71" s="103" t="str">
        <f t="shared" si="26"/>
        <v/>
      </c>
      <c r="Q71" s="103" t="str">
        <f t="shared" si="27"/>
        <v/>
      </c>
      <c r="R71" s="103" t="str">
        <f t="shared" si="28"/>
        <v/>
      </c>
      <c r="S71" s="103" t="str">
        <f t="shared" si="29"/>
        <v/>
      </c>
      <c r="T71" s="103" t="str">
        <f t="shared" si="30"/>
        <v/>
      </c>
      <c r="U71" s="97">
        <f t="shared" si="31"/>
        <v>2.9212113991444487E-2</v>
      </c>
      <c r="V71" s="103" t="str">
        <f t="shared" si="32"/>
        <v/>
      </c>
      <c r="W71" s="103" t="str">
        <f t="shared" si="33"/>
        <v/>
      </c>
      <c r="X71" s="132">
        <f t="shared" si="34"/>
        <v>1.6933254914131845E-2</v>
      </c>
    </row>
    <row r="72" spans="1:24">
      <c r="A72" s="131">
        <v>6.6039999999999996E-3</v>
      </c>
      <c r="B72" s="131">
        <v>0.580789</v>
      </c>
      <c r="C72" s="131">
        <v>2.5420999999999999E-2</v>
      </c>
      <c r="D72" s="132">
        <f t="shared" si="19"/>
        <v>0.57737550859999998</v>
      </c>
      <c r="E72" s="132">
        <f t="shared" si="35"/>
        <v>-22.019230769230923</v>
      </c>
      <c r="F72" s="100">
        <f t="shared" si="20"/>
        <v>58418061308845.5</v>
      </c>
      <c r="G72" s="100">
        <f>IF(WaferType="p-type",n_intr_boltzmann(0,SampleDoping,F72,298.15),n_intr_boltzmann(SampleDoping,0,F72,298.15))</f>
        <v>8875367150.9458828</v>
      </c>
      <c r="H72" s="100">
        <f t="shared" si="21"/>
        <v>58418061308845.5</v>
      </c>
      <c r="I72" s="100">
        <f t="shared" si="36"/>
        <v>-4.9667088443695944E+16</v>
      </c>
      <c r="J72" s="132">
        <f t="shared" si="22"/>
        <v>0.23727209385850978</v>
      </c>
      <c r="K72" s="132">
        <f t="shared" si="23"/>
        <v>0.24093513235448275</v>
      </c>
      <c r="L72" s="132">
        <f t="shared" si="24"/>
        <v>0.24093513235448275</v>
      </c>
      <c r="M72" s="132">
        <f>IF(A72&lt;$E$6,"",calcfit(Jo_1,Jo_2,Rshunt,Jsc,D72))</f>
        <v>0.25881739907416179</v>
      </c>
      <c r="N72" s="100">
        <f t="shared" si="25"/>
        <v>4.7737338196826001E-3</v>
      </c>
      <c r="O72" s="100">
        <f t="shared" si="37"/>
        <v>1.7882152293187022E-5</v>
      </c>
      <c r="P72" s="103" t="str">
        <f t="shared" si="26"/>
        <v/>
      </c>
      <c r="Q72" s="103" t="str">
        <f t="shared" si="27"/>
        <v/>
      </c>
      <c r="R72" s="103" t="str">
        <f t="shared" si="28"/>
        <v/>
      </c>
      <c r="S72" s="103" t="str">
        <f t="shared" si="29"/>
        <v/>
      </c>
      <c r="T72" s="103" t="str">
        <f t="shared" si="30"/>
        <v/>
      </c>
      <c r="U72" s="97">
        <f t="shared" si="31"/>
        <v>2.9681713519542661E-2</v>
      </c>
      <c r="V72" s="103" t="str">
        <f t="shared" si="32"/>
        <v/>
      </c>
      <c r="W72" s="103" t="str">
        <f t="shared" si="33"/>
        <v/>
      </c>
      <c r="X72" s="132">
        <f t="shared" si="34"/>
        <v>1.7137494439465439E-2</v>
      </c>
    </row>
    <row r="73" spans="1:24">
      <c r="A73" s="131">
        <v>6.7080000000000004E-3</v>
      </c>
      <c r="B73" s="131">
        <v>0.57847000000000004</v>
      </c>
      <c r="C73" s="131">
        <v>2.4197E-2</v>
      </c>
      <c r="D73" s="132">
        <f t="shared" ref="D73:D104" si="38">B73/NumCells+(Temp-25)*NumCells*TempCo</f>
        <v>0.57505650860000002</v>
      </c>
      <c r="E73" s="132">
        <f t="shared" si="35"/>
        <v>-22.298076923076369</v>
      </c>
      <c r="F73" s="100">
        <f t="shared" ref="F73:F104" si="39">calccarrierdensity(SampleDoping,D73,ni_SproulGreen)</f>
        <v>53412975213026</v>
      </c>
      <c r="G73" s="100">
        <f>IF(WaferType="p-type",n_intr_boltzmann(0,SampleDoping,F73,298.15),n_intr_boltzmann(SampleDoping,0,F73,298.15))</f>
        <v>8875240166.8911247</v>
      </c>
      <c r="H73" s="100">
        <f t="shared" ref="H73:H104" si="40">IF(BandGapSetting="OFF",F73,calccarrierdensity(SampleDoping,D73,G73))</f>
        <v>53412975213026</v>
      </c>
      <c r="I73" s="100">
        <f t="shared" si="36"/>
        <v>-4.6018010570395112E+16</v>
      </c>
      <c r="J73" s="132">
        <f t="shared" ref="J73:J104" si="41">IF(C73&gt;0,C73/RefCellCal,0.0001)</f>
        <v>0.22584763994706586</v>
      </c>
      <c r="K73" s="132">
        <f t="shared" ref="K73:K104" si="42">IF(Mode="Generalized",J73-q*Wafer_Thickness*I73/Jsc,J73)</f>
        <v>0.22924155228437829</v>
      </c>
      <c r="L73" s="132">
        <f t="shared" ref="L73:L104" si="43">IF(K73&lt;0.001, 0.001, K73)</f>
        <v>0.22924155228437829</v>
      </c>
      <c r="M73" s="132">
        <f>IF(A73&lt;$E$6,"",calcfit(Jo_1,Jo_2,Rshunt,Jsc,D73))</f>
        <v>0.24641172947490605</v>
      </c>
      <c r="N73" s="100">
        <f t="shared" ref="N73:N104" si="44">IF(M73="","",(((M73)-L73)*((M73)-L73)/M73/M73))</f>
        <v>4.855419969208504E-3</v>
      </c>
      <c r="O73" s="100">
        <f t="shared" si="37"/>
        <v>1.7184077006521924E-5</v>
      </c>
      <c r="P73" s="103" t="str">
        <f t="shared" ref="P73:P104" si="45">IF(A73&lt;TimeofMaxPV,"",IF(L73&gt;0.85,IF(L73&lt;1.1,D73,""),""))</f>
        <v/>
      </c>
      <c r="Q73" s="103" t="str">
        <f t="shared" ref="Q73:Q104" si="46">IF(A73&lt;TimeofMaxPV,"",IF(L73&gt;0.85,IF(L73&lt;1.15,D73,""),""))</f>
        <v/>
      </c>
      <c r="R73" s="103" t="str">
        <f t="shared" ref="R73:R104" si="47">IF(A73&lt;TimeofMaxPV,"",IF(L73&gt;0.06,IF(L73&lt;0.14,D73,""),""))</f>
        <v/>
      </c>
      <c r="S73" s="103" t="str">
        <f t="shared" ref="S73:S104" si="48">IF(Q73="","",LOG10($L73))</f>
        <v/>
      </c>
      <c r="T73" s="103" t="str">
        <f t="shared" ref="T73:T104" si="49">IF(R73="","",LOG10($L73))</f>
        <v/>
      </c>
      <c r="U73" s="97">
        <f t="shared" ref="U73:U104" si="50">Jsc*(1-L73)</f>
        <v>3.0138967581023957E-2</v>
      </c>
      <c r="V73" s="103" t="str">
        <f t="shared" ref="V73:V104" si="51">IF(P73="","",U73)</f>
        <v/>
      </c>
      <c r="W73" s="103" t="str">
        <f t="shared" ref="W73:W104" si="52">IF(A73&lt;TimeofMaxPV,"",IF(U73&gt;0.96*Jsc,IF(U73&lt;0.98*Jsc,D73,""),""))</f>
        <v/>
      </c>
      <c r="X73" s="132">
        <f t="shared" ref="X73:X104" si="53">D73*U73</f>
        <v>1.7331609469952224E-2</v>
      </c>
    </row>
    <row r="74" spans="1:24">
      <c r="A74" s="131">
        <v>6.8120000000000003E-3</v>
      </c>
      <c r="B74" s="131">
        <v>0.57609699999999997</v>
      </c>
      <c r="C74" s="131">
        <v>2.3047000000000002E-2</v>
      </c>
      <c r="D74" s="132">
        <f t="shared" si="38"/>
        <v>0.57268350859999995</v>
      </c>
      <c r="E74" s="132">
        <f t="shared" ref="E74:E105" si="54">SLOPE(D73:D74,A73:A74)</f>
        <v>-22.817307692308376</v>
      </c>
      <c r="F74" s="100">
        <f t="shared" si="39"/>
        <v>48732023722439.5</v>
      </c>
      <c r="G74" s="100">
        <f>IF(WaferType="p-type",n_intr_boltzmann(0,SampleDoping,F74,298.15),n_intr_boltzmann(SampleDoping,0,F74,298.15))</f>
        <v>8875121495.4704666</v>
      </c>
      <c r="H74" s="100">
        <f t="shared" si="40"/>
        <v>48732023722439.5</v>
      </c>
      <c r="I74" s="100">
        <f t="shared" ref="I74:I105" si="55">calcdndt(D74,SampleDoping,ni_SproulGreen,G74,E74,BandGapSetting)</f>
        <v>-4.2990078724093824E+16</v>
      </c>
      <c r="J74" s="132">
        <f t="shared" si="41"/>
        <v>0.21511388014464716</v>
      </c>
      <c r="K74" s="132">
        <f t="shared" si="42"/>
        <v>0.21828447697739248</v>
      </c>
      <c r="L74" s="132">
        <f t="shared" si="43"/>
        <v>0.21828447697739248</v>
      </c>
      <c r="M74" s="132">
        <f>IF(A74&lt;$E$6,"",calcfit(Jo_1,Jo_2,Rshunt,Jsc,D74))</f>
        <v>0.23446131912532717</v>
      </c>
      <c r="N74" s="100">
        <f t="shared" si="44"/>
        <v>4.760417984483796E-3</v>
      </c>
      <c r="O74" s="100">
        <f t="shared" ref="O74:O105" si="56">H74/((Jsc*L74)/(q*Wafer_Thickness))</f>
        <v>1.6465100104841407E-5</v>
      </c>
      <c r="P74" s="103" t="str">
        <f t="shared" si="45"/>
        <v/>
      </c>
      <c r="Q74" s="103" t="str">
        <f t="shared" si="46"/>
        <v/>
      </c>
      <c r="R74" s="103" t="str">
        <f t="shared" si="47"/>
        <v/>
      </c>
      <c r="S74" s="103" t="str">
        <f t="shared" si="48"/>
        <v/>
      </c>
      <c r="T74" s="103" t="str">
        <f t="shared" si="49"/>
        <v/>
      </c>
      <c r="U74" s="97">
        <f t="shared" si="50"/>
        <v>3.0567422096753019E-2</v>
      </c>
      <c r="V74" s="103" t="str">
        <f t="shared" si="51"/>
        <v/>
      </c>
      <c r="W74" s="103" t="str">
        <f t="shared" si="52"/>
        <v/>
      </c>
      <c r="X74" s="132">
        <f t="shared" si="53"/>
        <v>1.7505458535225685E-2</v>
      </c>
    </row>
    <row r="75" spans="1:24">
      <c r="A75" s="131">
        <v>6.9160000000000003E-3</v>
      </c>
      <c r="B75" s="131">
        <v>0.57371499999999997</v>
      </c>
      <c r="C75" s="131">
        <v>2.1957999999999998E-2</v>
      </c>
      <c r="D75" s="132">
        <f t="shared" si="38"/>
        <v>0.57030150859999995</v>
      </c>
      <c r="E75" s="132">
        <f t="shared" si="54"/>
        <v>-22.903846153846125</v>
      </c>
      <c r="F75" s="100">
        <f t="shared" si="39"/>
        <v>44443342821359.5</v>
      </c>
      <c r="G75" s="100">
        <f>IF(WaferType="p-type",n_intr_boltzmann(0,SampleDoping,F75,298.15),n_intr_boltzmann(SampleDoping,0,F75,298.15))</f>
        <v>8875012844.1635838</v>
      </c>
      <c r="H75" s="100">
        <f t="shared" si="40"/>
        <v>44443342821359.5</v>
      </c>
      <c r="I75" s="100">
        <f t="shared" si="55"/>
        <v>-3.9378359789818464E+16</v>
      </c>
      <c r="J75" s="132">
        <f t="shared" si="41"/>
        <v>0.20494947629696539</v>
      </c>
      <c r="K75" s="132">
        <f t="shared" si="42"/>
        <v>0.20785370226104416</v>
      </c>
      <c r="L75" s="132">
        <f t="shared" si="43"/>
        <v>0.20785370226104416</v>
      </c>
      <c r="M75" s="132">
        <f>IF(A75&lt;$E$6,"",calcfit(Jo_1,Jo_2,Rshunt,Jsc,D75))</f>
        <v>0.2231723502979886</v>
      </c>
      <c r="N75" s="100">
        <f t="shared" si="44"/>
        <v>4.7115098290993274E-3</v>
      </c>
      <c r="O75" s="100">
        <f t="shared" si="56"/>
        <v>1.5769638350601431E-5</v>
      </c>
      <c r="P75" s="103" t="str">
        <f t="shared" si="45"/>
        <v/>
      </c>
      <c r="Q75" s="103" t="str">
        <f t="shared" si="46"/>
        <v/>
      </c>
      <c r="R75" s="103" t="str">
        <f t="shared" si="47"/>
        <v/>
      </c>
      <c r="S75" s="103" t="str">
        <f t="shared" si="48"/>
        <v/>
      </c>
      <c r="T75" s="103" t="str">
        <f t="shared" si="49"/>
        <v/>
      </c>
      <c r="U75" s="97">
        <f t="shared" si="50"/>
        <v>3.0975296680486389E-2</v>
      </c>
      <c r="V75" s="103" t="str">
        <f t="shared" si="51"/>
        <v/>
      </c>
      <c r="W75" s="103" t="str">
        <f t="shared" si="52"/>
        <v/>
      </c>
      <c r="X75" s="132">
        <f t="shared" si="53"/>
        <v>1.766525842621396E-2</v>
      </c>
    </row>
    <row r="76" spans="1:24">
      <c r="A76" s="131">
        <v>7.0200000000000002E-3</v>
      </c>
      <c r="B76" s="131">
        <v>0.57125899999999996</v>
      </c>
      <c r="C76" s="131">
        <v>2.0899000000000001E-2</v>
      </c>
      <c r="D76" s="132">
        <f t="shared" si="38"/>
        <v>0.56784550859999994</v>
      </c>
      <c r="E76" s="132">
        <f t="shared" si="54"/>
        <v>-23.615384615384766</v>
      </c>
      <c r="F76" s="100">
        <f t="shared" si="39"/>
        <v>40414085913912.5</v>
      </c>
      <c r="G76" s="100">
        <f>IF(WaferType="p-type",n_intr_boltzmann(0,SampleDoping,F76,298.15),n_intr_boltzmann(SampleDoping,0,F76,298.15))</f>
        <v>8874910830.4436646</v>
      </c>
      <c r="H76" s="100">
        <f t="shared" si="40"/>
        <v>40414085913912.5</v>
      </c>
      <c r="I76" s="100">
        <f t="shared" si="55"/>
        <v>-3.6940984198140096E+16</v>
      </c>
      <c r="J76" s="132">
        <f t="shared" si="41"/>
        <v>0.19506508357456417</v>
      </c>
      <c r="K76" s="132">
        <f t="shared" si="42"/>
        <v>0.19778954863658033</v>
      </c>
      <c r="L76" s="132">
        <f t="shared" si="43"/>
        <v>0.19778954863658033</v>
      </c>
      <c r="M76" s="132">
        <f>IF(A76&lt;$E$6,"",calcfit(Jo_1,Jo_2,Rshunt,Jsc,D76))</f>
        <v>0.2122243824811538</v>
      </c>
      <c r="N76" s="100">
        <f t="shared" si="44"/>
        <v>4.6262917909854996E-3</v>
      </c>
      <c r="O76" s="100">
        <f t="shared" si="56"/>
        <v>1.5069616560441824E-5</v>
      </c>
      <c r="P76" s="103" t="str">
        <f t="shared" si="45"/>
        <v/>
      </c>
      <c r="Q76" s="103" t="str">
        <f t="shared" si="46"/>
        <v/>
      </c>
      <c r="R76" s="103" t="str">
        <f t="shared" si="47"/>
        <v/>
      </c>
      <c r="S76" s="103" t="str">
        <f t="shared" si="48"/>
        <v/>
      </c>
      <c r="T76" s="103" t="str">
        <f t="shared" si="49"/>
        <v/>
      </c>
      <c r="U76" s="97">
        <f t="shared" si="50"/>
        <v>3.1368835279663797E-2</v>
      </c>
      <c r="V76" s="103" t="str">
        <f t="shared" si="51"/>
        <v/>
      </c>
      <c r="W76" s="103" t="str">
        <f t="shared" si="52"/>
        <v/>
      </c>
      <c r="X76" s="132">
        <f t="shared" si="53"/>
        <v>1.781265222357031E-2</v>
      </c>
    </row>
    <row r="77" spans="1:24">
      <c r="A77" s="131">
        <v>7.1240000000000001E-3</v>
      </c>
      <c r="B77" s="131">
        <v>0.56875900000000001</v>
      </c>
      <c r="C77" s="131">
        <v>1.9893999999999998E-2</v>
      </c>
      <c r="D77" s="132">
        <f t="shared" si="38"/>
        <v>0.56534550859999999</v>
      </c>
      <c r="E77" s="132">
        <f t="shared" si="54"/>
        <v>-24.038461538461046</v>
      </c>
      <c r="F77" s="100">
        <f t="shared" si="39"/>
        <v>36685730616452</v>
      </c>
      <c r="G77" s="100">
        <f>IF(WaferType="p-type",n_intr_boltzmann(0,SampleDoping,F77,298.15),n_intr_boltzmann(SampleDoping,0,F77,298.15))</f>
        <v>8874816490.8660355</v>
      </c>
      <c r="H77" s="100">
        <f t="shared" si="40"/>
        <v>36685730616452</v>
      </c>
      <c r="I77" s="100">
        <f t="shared" si="55"/>
        <v>-3.4151145508112424E+16</v>
      </c>
      <c r="J77" s="132">
        <f t="shared" si="41"/>
        <v>0.1856847108776678</v>
      </c>
      <c r="K77" s="132">
        <f t="shared" si="42"/>
        <v>0.18820342024029943</v>
      </c>
      <c r="L77" s="132">
        <f t="shared" si="43"/>
        <v>0.18820342024029943</v>
      </c>
      <c r="M77" s="132">
        <f>IF(A77&lt;$E$6,"",calcfit(Jo_1,Jo_2,Rshunt,Jsc,D77))</f>
        <v>0.20175272879569126</v>
      </c>
      <c r="N77" s="100">
        <f t="shared" si="44"/>
        <v>4.5101961617304625E-3</v>
      </c>
      <c r="O77" s="100">
        <f t="shared" si="56"/>
        <v>1.4376144921590479E-5</v>
      </c>
      <c r="P77" s="103" t="str">
        <f t="shared" si="45"/>
        <v/>
      </c>
      <c r="Q77" s="103" t="str">
        <f t="shared" si="46"/>
        <v/>
      </c>
      <c r="R77" s="103" t="str">
        <f t="shared" si="47"/>
        <v/>
      </c>
      <c r="S77" s="103" t="str">
        <f t="shared" si="48"/>
        <v/>
      </c>
      <c r="T77" s="103" t="str">
        <f t="shared" si="49"/>
        <v/>
      </c>
      <c r="U77" s="97">
        <f t="shared" si="50"/>
        <v>3.174368165834357E-2</v>
      </c>
      <c r="V77" s="103" t="str">
        <f t="shared" si="51"/>
        <v/>
      </c>
      <c r="W77" s="103" t="str">
        <f t="shared" si="52"/>
        <v/>
      </c>
      <c r="X77" s="132">
        <f t="shared" si="53"/>
        <v>1.7946147851972738E-2</v>
      </c>
    </row>
    <row r="78" spans="1:24">
      <c r="A78" s="131">
        <v>7.228E-3</v>
      </c>
      <c r="B78" s="131">
        <v>0.56624799999999997</v>
      </c>
      <c r="C78" s="131">
        <v>1.8943999999999999E-2</v>
      </c>
      <c r="D78" s="132">
        <f t="shared" si="38"/>
        <v>0.56283450859999995</v>
      </c>
      <c r="E78" s="132">
        <f t="shared" si="54"/>
        <v>-24.144230769231182</v>
      </c>
      <c r="F78" s="100">
        <f t="shared" si="39"/>
        <v>33285578272474.5</v>
      </c>
      <c r="G78" s="100">
        <f>IF(WaferType="p-type",n_intr_boltzmann(0,SampleDoping,F78,298.15),n_intr_boltzmann(SampleDoping,0,F78,298.15))</f>
        <v>8874730502.177042</v>
      </c>
      <c r="H78" s="100">
        <f t="shared" si="40"/>
        <v>33285578272474.5</v>
      </c>
      <c r="I78" s="100">
        <f t="shared" si="55"/>
        <v>-3.1136696346376956E+16</v>
      </c>
      <c r="J78" s="132">
        <f t="shared" si="41"/>
        <v>0.17681769191045235</v>
      </c>
      <c r="K78" s="132">
        <f t="shared" si="42"/>
        <v>0.17911408014113142</v>
      </c>
      <c r="L78" s="132">
        <f t="shared" si="43"/>
        <v>0.17911408014113142</v>
      </c>
      <c r="M78" s="132">
        <f>IF(A78&lt;$E$6,"",calcfit(Jo_1,Jo_2,Rshunt,Jsc,D78))</f>
        <v>0.19187125513069267</v>
      </c>
      <c r="N78" s="100">
        <f t="shared" si="44"/>
        <v>4.4206811579675471E-3</v>
      </c>
      <c r="O78" s="100">
        <f t="shared" si="56"/>
        <v>1.370563495622702E-5</v>
      </c>
      <c r="P78" s="103" t="str">
        <f t="shared" si="45"/>
        <v/>
      </c>
      <c r="Q78" s="103" t="str">
        <f t="shared" si="46"/>
        <v/>
      </c>
      <c r="R78" s="103" t="str">
        <f t="shared" si="47"/>
        <v/>
      </c>
      <c r="S78" s="103" t="str">
        <f t="shared" si="48"/>
        <v/>
      </c>
      <c r="T78" s="103" t="str">
        <f t="shared" si="49"/>
        <v/>
      </c>
      <c r="U78" s="97">
        <f t="shared" si="50"/>
        <v>3.2099102124241337E-2</v>
      </c>
      <c r="V78" s="103" t="str">
        <f t="shared" si="51"/>
        <v/>
      </c>
      <c r="W78" s="103" t="str">
        <f t="shared" si="52"/>
        <v/>
      </c>
      <c r="X78" s="132">
        <f t="shared" si="53"/>
        <v>1.8066482370598588E-2</v>
      </c>
    </row>
    <row r="79" spans="1:24">
      <c r="A79" s="131">
        <v>7.332E-3</v>
      </c>
      <c r="B79" s="131">
        <v>0.56363399999999997</v>
      </c>
      <c r="C79" s="131">
        <v>1.8053E-2</v>
      </c>
      <c r="D79" s="132">
        <f t="shared" si="38"/>
        <v>0.56022050859999994</v>
      </c>
      <c r="E79" s="132">
        <f t="shared" si="54"/>
        <v>-25.134615384615454</v>
      </c>
      <c r="F79" s="100">
        <f t="shared" si="39"/>
        <v>30078936943483.5</v>
      </c>
      <c r="G79" s="100">
        <f>IF(WaferType="p-type",n_intr_boltzmann(0,SampleDoping,F79,298.15),n_intr_boltzmann(SampleDoping,0,F79,298.15))</f>
        <v>8874649447.1723137</v>
      </c>
      <c r="H79" s="100">
        <f t="shared" si="40"/>
        <v>30078936943483.5</v>
      </c>
      <c r="I79" s="100">
        <f t="shared" si="55"/>
        <v>-2.9304086087678228E+16</v>
      </c>
      <c r="J79" s="132">
        <f t="shared" si="41"/>
        <v>0.16850136148962186</v>
      </c>
      <c r="K79" s="132">
        <f t="shared" si="42"/>
        <v>0.1706625913662263</v>
      </c>
      <c r="L79" s="132">
        <f t="shared" si="43"/>
        <v>0.1706625913662263</v>
      </c>
      <c r="M79" s="132">
        <f>IF(A79&lt;$E$6,"",calcfit(Jo_1,Jo_2,Rshunt,Jsc,D79))</f>
        <v>0.18221503694969499</v>
      </c>
      <c r="N79" s="100">
        <f t="shared" si="44"/>
        <v>4.0195685181862355E-3</v>
      </c>
      <c r="O79" s="100">
        <f t="shared" si="56"/>
        <v>1.2998610444296059E-5</v>
      </c>
      <c r="P79" s="103" t="str">
        <f t="shared" si="45"/>
        <v/>
      </c>
      <c r="Q79" s="103" t="str">
        <f t="shared" si="46"/>
        <v/>
      </c>
      <c r="R79" s="103" t="str">
        <f t="shared" si="47"/>
        <v/>
      </c>
      <c r="S79" s="103" t="str">
        <f t="shared" si="48"/>
        <v/>
      </c>
      <c r="T79" s="103" t="str">
        <f t="shared" si="49"/>
        <v/>
      </c>
      <c r="U79" s="97">
        <f t="shared" si="50"/>
        <v>3.2429580689806455E-2</v>
      </c>
      <c r="V79" s="103" t="str">
        <f t="shared" si="51"/>
        <v/>
      </c>
      <c r="W79" s="103" t="str">
        <f t="shared" si="52"/>
        <v/>
      </c>
      <c r="X79" s="132">
        <f t="shared" si="53"/>
        <v>1.8167716187728108E-2</v>
      </c>
    </row>
    <row r="80" spans="1:24">
      <c r="A80" s="131">
        <v>7.4359999999999999E-3</v>
      </c>
      <c r="B80" s="131">
        <v>0.56100300000000003</v>
      </c>
      <c r="C80" s="131">
        <v>1.7203E-2</v>
      </c>
      <c r="D80" s="132">
        <f t="shared" si="38"/>
        <v>0.55758950860000001</v>
      </c>
      <c r="E80" s="132">
        <f t="shared" si="54"/>
        <v>-25.298076923076358</v>
      </c>
      <c r="F80" s="100">
        <f t="shared" si="39"/>
        <v>27162154337764.5</v>
      </c>
      <c r="G80" s="100">
        <f>IF(WaferType="p-type",n_intr_boltzmann(0,SampleDoping,F80,298.15),n_intr_boltzmann(SampleDoping,0,F80,298.15))</f>
        <v>8874575751.9472618</v>
      </c>
      <c r="H80" s="100">
        <f t="shared" si="40"/>
        <v>27162154337764.5</v>
      </c>
      <c r="I80" s="100">
        <f t="shared" si="55"/>
        <v>-2.6645175573120016E+16</v>
      </c>
      <c r="J80" s="132">
        <f t="shared" si="41"/>
        <v>0.16056771294000802</v>
      </c>
      <c r="K80" s="132">
        <f t="shared" si="42"/>
        <v>0.16253284330932574</v>
      </c>
      <c r="L80" s="132">
        <f t="shared" si="43"/>
        <v>0.16253284330932574</v>
      </c>
      <c r="M80" s="132">
        <f>IF(A80&lt;$E$6,"",calcfit(Jo_1,Jo_2,Rshunt,Jsc,D80))</f>
        <v>0.17310029449977127</v>
      </c>
      <c r="N80" s="100">
        <f t="shared" si="44"/>
        <v>3.7268755228583045E-3</v>
      </c>
      <c r="O80" s="100">
        <f t="shared" si="56"/>
        <v>1.2325253510302375E-5</v>
      </c>
      <c r="P80" s="103" t="str">
        <f t="shared" si="45"/>
        <v/>
      </c>
      <c r="Q80" s="103" t="str">
        <f t="shared" si="46"/>
        <v/>
      </c>
      <c r="R80" s="103" t="str">
        <f t="shared" si="47"/>
        <v/>
      </c>
      <c r="S80" s="103" t="str">
        <f t="shared" si="48"/>
        <v/>
      </c>
      <c r="T80" s="103" t="str">
        <f t="shared" si="49"/>
        <v/>
      </c>
      <c r="U80" s="97">
        <f t="shared" si="50"/>
        <v>3.2747478228075437E-2</v>
      </c>
      <c r="V80" s="103" t="str">
        <f t="shared" si="51"/>
        <v/>
      </c>
      <c r="W80" s="103" t="str">
        <f t="shared" si="52"/>
        <v/>
      </c>
      <c r="X80" s="132">
        <f t="shared" si="53"/>
        <v>1.8259650293081783E-2</v>
      </c>
    </row>
    <row r="81" spans="1:24">
      <c r="A81" s="131">
        <v>7.5399999999999998E-3</v>
      </c>
      <c r="B81" s="131">
        <v>0.55831399999999998</v>
      </c>
      <c r="C81" s="131">
        <v>1.6383000000000002E-2</v>
      </c>
      <c r="D81" s="132">
        <f t="shared" si="38"/>
        <v>0.55490050859999995</v>
      </c>
      <c r="E81" s="132">
        <f t="shared" si="54"/>
        <v>-25.855769230769752</v>
      </c>
      <c r="F81" s="100">
        <f t="shared" si="39"/>
        <v>24472143653611.5</v>
      </c>
      <c r="G81" s="100">
        <f>IF(WaferType="p-type",n_intr_boltzmann(0,SampleDoping,F81,298.15),n_intr_boltzmann(SampleDoping,0,F81,298.15))</f>
        <v>8874507813.4561329</v>
      </c>
      <c r="H81" s="100">
        <f t="shared" si="40"/>
        <v>24472143653611.5</v>
      </c>
      <c r="I81" s="100">
        <f t="shared" si="55"/>
        <v>-2.4544628031211416E+16</v>
      </c>
      <c r="J81" s="132">
        <f t="shared" si="41"/>
        <v>0.15291407551567468</v>
      </c>
      <c r="K81" s="132">
        <f t="shared" si="42"/>
        <v>0.15472428666685956</v>
      </c>
      <c r="L81" s="132">
        <f t="shared" si="43"/>
        <v>0.15472428666685956</v>
      </c>
      <c r="M81" s="132">
        <f>IF(A81&lt;$E$6,"",calcfit(Jo_1,Jo_2,Rshunt,Jsc,D81))</f>
        <v>0.1643667837831552</v>
      </c>
      <c r="N81" s="100">
        <f t="shared" si="44"/>
        <v>3.4415249372519471E-3</v>
      </c>
      <c r="O81" s="100">
        <f t="shared" si="56"/>
        <v>1.166504195828711E-5</v>
      </c>
      <c r="P81" s="103" t="str">
        <f t="shared" si="45"/>
        <v/>
      </c>
      <c r="Q81" s="103" t="str">
        <f t="shared" si="46"/>
        <v/>
      </c>
      <c r="R81" s="103" t="str">
        <f t="shared" si="47"/>
        <v/>
      </c>
      <c r="S81" s="103" t="str">
        <f t="shared" si="48"/>
        <v/>
      </c>
      <c r="T81" s="103" t="str">
        <f t="shared" si="49"/>
        <v/>
      </c>
      <c r="U81" s="97">
        <f t="shared" si="50"/>
        <v>3.3052816218465793E-2</v>
      </c>
      <c r="V81" s="103" t="str">
        <f t="shared" si="51"/>
        <v/>
      </c>
      <c r="W81" s="103" t="str">
        <f t="shared" si="52"/>
        <v/>
      </c>
      <c r="X81" s="132">
        <f t="shared" si="53"/>
        <v>1.8341024530288994E-2</v>
      </c>
    </row>
    <row r="82" spans="1:24">
      <c r="A82" s="131">
        <v>7.6439999999999998E-3</v>
      </c>
      <c r="B82" s="131">
        <v>0.55551799999999996</v>
      </c>
      <c r="C82" s="131">
        <v>1.5594999999999999E-2</v>
      </c>
      <c r="D82" s="132">
        <f t="shared" si="38"/>
        <v>0.55210450859999993</v>
      </c>
      <c r="E82" s="132">
        <f t="shared" si="54"/>
        <v>-26.884615384615604</v>
      </c>
      <c r="F82" s="100">
        <f t="shared" si="39"/>
        <v>21956380591346</v>
      </c>
      <c r="G82" s="100">
        <f>IF(WaferType="p-type",n_intr_boltzmann(0,SampleDoping,F82,298.15),n_intr_boltzmann(SampleDoping,0,F82,298.15))</f>
        <v>8874444298.5276394</v>
      </c>
      <c r="H82" s="100">
        <f t="shared" si="40"/>
        <v>21956380591346</v>
      </c>
      <c r="I82" s="100">
        <f t="shared" si="55"/>
        <v>-2.2905588794801564E+16</v>
      </c>
      <c r="J82" s="132">
        <f t="shared" si="41"/>
        <v>0.14555911662497384</v>
      </c>
      <c r="K82" s="132">
        <f t="shared" si="42"/>
        <v>0.14724844563855999</v>
      </c>
      <c r="L82" s="132">
        <f t="shared" si="43"/>
        <v>0.14724844563855999</v>
      </c>
      <c r="M82" s="132">
        <f>IF(A82&lt;$E$6,"",calcfit(Jo_1,Jo_2,Rshunt,Jsc,D82))</f>
        <v>0.15586517971462371</v>
      </c>
      <c r="N82" s="100">
        <f t="shared" si="44"/>
        <v>3.0562379998441015E-3</v>
      </c>
      <c r="O82" s="100">
        <f t="shared" si="56"/>
        <v>1.099721744232665E-5</v>
      </c>
      <c r="P82" s="103" t="str">
        <f t="shared" si="45"/>
        <v/>
      </c>
      <c r="Q82" s="103" t="str">
        <f t="shared" si="46"/>
        <v/>
      </c>
      <c r="R82" s="103" t="str">
        <f t="shared" si="47"/>
        <v/>
      </c>
      <c r="S82" s="103" t="str">
        <f t="shared" si="48"/>
        <v/>
      </c>
      <c r="T82" s="103" t="str">
        <f t="shared" si="49"/>
        <v/>
      </c>
      <c r="U82" s="97">
        <f t="shared" si="50"/>
        <v>3.3345144030195388E-2</v>
      </c>
      <c r="V82" s="103" t="str">
        <f t="shared" si="51"/>
        <v/>
      </c>
      <c r="W82" s="103" t="str">
        <f t="shared" si="52"/>
        <v/>
      </c>
      <c r="X82" s="132">
        <f t="shared" si="53"/>
        <v>1.8410004358987247E-2</v>
      </c>
    </row>
    <row r="83" spans="1:24">
      <c r="A83" s="131">
        <v>7.7479999999999997E-3</v>
      </c>
      <c r="B83" s="131">
        <v>0.55268499999999998</v>
      </c>
      <c r="C83" s="131">
        <v>1.4874999999999999E-2</v>
      </c>
      <c r="D83" s="132">
        <f t="shared" si="38"/>
        <v>0.54927150859999996</v>
      </c>
      <c r="E83" s="132">
        <f t="shared" si="54"/>
        <v>-27.240384615384389</v>
      </c>
      <c r="F83" s="100">
        <f t="shared" si="39"/>
        <v>19670270479013.5</v>
      </c>
      <c r="G83" s="100">
        <f>IF(WaferType="p-type",n_intr_boltzmann(0,SampleDoping,F83,298.15),n_intr_boltzmann(SampleDoping,0,F83,298.15))</f>
        <v>8874386599.8920631</v>
      </c>
      <c r="H83" s="100">
        <f t="shared" si="40"/>
        <v>19670270479013.5</v>
      </c>
      <c r="I83" s="100">
        <f t="shared" si="55"/>
        <v>-2.0798729349442052E+16</v>
      </c>
      <c r="J83" s="132">
        <f t="shared" si="41"/>
        <v>0.13883884961824211</v>
      </c>
      <c r="K83" s="132">
        <f t="shared" si="42"/>
        <v>0.14037279389928642</v>
      </c>
      <c r="L83" s="132">
        <f t="shared" si="43"/>
        <v>0.14037279389928642</v>
      </c>
      <c r="M83" s="132">
        <f>IF(A83&lt;$E$6,"",calcfit(Jo_1,Jo_2,Rshunt,Jsc,D83))</f>
        <v>0.14780980227172302</v>
      </c>
      <c r="N83" s="100">
        <f t="shared" si="44"/>
        <v>2.5315707476811951E-3</v>
      </c>
      <c r="O83" s="100">
        <f t="shared" si="56"/>
        <v>1.0334754604353553E-5</v>
      </c>
      <c r="P83" s="103" t="str">
        <f t="shared" si="45"/>
        <v/>
      </c>
      <c r="Q83" s="103" t="str">
        <f t="shared" si="46"/>
        <v/>
      </c>
      <c r="R83" s="103" t="str">
        <f t="shared" si="47"/>
        <v/>
      </c>
      <c r="S83" s="103" t="str">
        <f t="shared" si="48"/>
        <v/>
      </c>
      <c r="T83" s="103" t="str">
        <f t="shared" si="49"/>
        <v/>
      </c>
      <c r="U83" s="97">
        <f t="shared" si="50"/>
        <v>3.3614002640156203E-2</v>
      </c>
      <c r="V83" s="103" t="str">
        <f t="shared" si="51"/>
        <v/>
      </c>
      <c r="W83" s="103" t="str">
        <f t="shared" si="52"/>
        <v/>
      </c>
      <c r="X83" s="132">
        <f t="shared" si="53"/>
        <v>1.846321394024298E-2</v>
      </c>
    </row>
    <row r="84" spans="1:24">
      <c r="A84" s="131">
        <v>7.8519999999999996E-3</v>
      </c>
      <c r="B84" s="131">
        <v>0.54980399999999996</v>
      </c>
      <c r="C84" s="131">
        <v>1.4161999999999999E-2</v>
      </c>
      <c r="D84" s="132">
        <f t="shared" si="38"/>
        <v>0.54639050859999994</v>
      </c>
      <c r="E84" s="132">
        <f t="shared" si="54"/>
        <v>-27.701923076923311</v>
      </c>
      <c r="F84" s="100">
        <f t="shared" si="39"/>
        <v>17588803930515.5</v>
      </c>
      <c r="G84" s="100">
        <f>IF(WaferType="p-type",n_intr_boltzmann(0,SampleDoping,F84,298.15),n_intr_boltzmann(SampleDoping,0,F84,298.15))</f>
        <v>8874334080.5190811</v>
      </c>
      <c r="H84" s="100">
        <f t="shared" si="40"/>
        <v>17588803930515.5</v>
      </c>
      <c r="I84" s="100">
        <f t="shared" si="55"/>
        <v>-1.891837039510748E+16</v>
      </c>
      <c r="J84" s="132">
        <f t="shared" si="41"/>
        <v>0.13218391854074252</v>
      </c>
      <c r="K84" s="132">
        <f t="shared" si="42"/>
        <v>0.13357918291418999</v>
      </c>
      <c r="L84" s="132">
        <f t="shared" si="43"/>
        <v>0.13357918291418999</v>
      </c>
      <c r="M84" s="132">
        <f>IF(A84&lt;$E$6,"",calcfit(Jo_1,Jo_2,Rshunt,Jsc,D84))</f>
        <v>0.14015225470218676</v>
      </c>
      <c r="N84" s="100">
        <f t="shared" si="44"/>
        <v>2.1995638488842523E-3</v>
      </c>
      <c r="O84" s="100">
        <f t="shared" si="56"/>
        <v>9.711142033972285E-6</v>
      </c>
      <c r="P84" s="103" t="str">
        <f t="shared" si="45"/>
        <v/>
      </c>
      <c r="Q84" s="103" t="str">
        <f t="shared" si="46"/>
        <v/>
      </c>
      <c r="R84" s="103">
        <f t="shared" si="47"/>
        <v>0.54639050859999994</v>
      </c>
      <c r="S84" s="103" t="str">
        <f t="shared" si="48"/>
        <v/>
      </c>
      <c r="T84" s="103">
        <f t="shared" si="49"/>
        <v>-0.87426121738381501</v>
      </c>
      <c r="U84" s="97">
        <f t="shared" si="50"/>
        <v>3.3879653210506427E-2</v>
      </c>
      <c r="V84" s="103" t="str">
        <f t="shared" si="51"/>
        <v/>
      </c>
      <c r="W84" s="103" t="str">
        <f t="shared" si="52"/>
        <v/>
      </c>
      <c r="X84" s="132">
        <f t="shared" si="53"/>
        <v>1.8511520948880228E-2</v>
      </c>
    </row>
    <row r="85" spans="1:24">
      <c r="A85" s="131">
        <v>7.9559999999999995E-3</v>
      </c>
      <c r="B85" s="131">
        <v>0.54684900000000003</v>
      </c>
      <c r="C85" s="131">
        <v>1.3507E-2</v>
      </c>
      <c r="D85" s="132">
        <f t="shared" si="38"/>
        <v>0.54343550860000001</v>
      </c>
      <c r="E85" s="132">
        <f t="shared" si="54"/>
        <v>-28.413461538460886</v>
      </c>
      <c r="F85" s="100">
        <f t="shared" si="39"/>
        <v>15681982960521</v>
      </c>
      <c r="G85" s="100">
        <f>IF(WaferType="p-type",n_intr_boltzmann(0,SampleDoping,F85,298.15),n_intr_boltzmann(SampleDoping,0,F85,298.15))</f>
        <v>8874285978.878191</v>
      </c>
      <c r="H85" s="100">
        <f t="shared" si="40"/>
        <v>15681982960521</v>
      </c>
      <c r="I85" s="100">
        <f t="shared" si="55"/>
        <v>-1.7305197085591312E+16</v>
      </c>
      <c r="J85" s="132">
        <f t="shared" si="41"/>
        <v>0.12607034230545186</v>
      </c>
      <c r="K85" s="132">
        <f t="shared" si="42"/>
        <v>0.12734663220065642</v>
      </c>
      <c r="L85" s="132">
        <f t="shared" si="43"/>
        <v>0.12734663220065642</v>
      </c>
      <c r="M85" s="132">
        <f>IF(A85&lt;$E$6,"",calcfit(Jo_1,Jo_2,Rshunt,Jsc,D85))</f>
        <v>0.13281619398701983</v>
      </c>
      <c r="N85" s="100">
        <f t="shared" si="44"/>
        <v>1.6959107912791578E-3</v>
      </c>
      <c r="O85" s="100">
        <f t="shared" si="56"/>
        <v>9.0821003153919563E-6</v>
      </c>
      <c r="P85" s="103" t="str">
        <f t="shared" si="45"/>
        <v/>
      </c>
      <c r="Q85" s="103" t="str">
        <f t="shared" si="46"/>
        <v/>
      </c>
      <c r="R85" s="103">
        <f t="shared" si="47"/>
        <v>0.54343550860000001</v>
      </c>
      <c r="S85" s="103" t="str">
        <f t="shared" si="48"/>
        <v/>
      </c>
      <c r="T85" s="103">
        <f t="shared" si="49"/>
        <v>-0.89501253586731566</v>
      </c>
      <c r="U85" s="97">
        <f t="shared" si="50"/>
        <v>3.4123364641057731E-2</v>
      </c>
      <c r="V85" s="103" t="str">
        <f t="shared" si="51"/>
        <v/>
      </c>
      <c r="W85" s="103" t="str">
        <f t="shared" si="52"/>
        <v/>
      </c>
      <c r="X85" s="132">
        <f t="shared" si="53"/>
        <v>1.8543848018856463E-2</v>
      </c>
    </row>
    <row r="86" spans="1:24">
      <c r="A86" s="131">
        <v>8.0599999999999995E-3</v>
      </c>
      <c r="B86" s="131">
        <v>0.54378599999999999</v>
      </c>
      <c r="C86" s="131">
        <v>1.2865E-2</v>
      </c>
      <c r="D86" s="132">
        <f t="shared" si="38"/>
        <v>0.54037250859999997</v>
      </c>
      <c r="E86" s="132">
        <f t="shared" si="54"/>
        <v>-29.451923076923464</v>
      </c>
      <c r="F86" s="100">
        <f t="shared" si="39"/>
        <v>13922948855768</v>
      </c>
      <c r="G86" s="100">
        <f>IF(WaferType="p-type",n_intr_boltzmann(0,SampleDoping,F86,298.15),n_intr_boltzmann(SampleDoping,0,F86,298.15))</f>
        <v>8874241613.7902489</v>
      </c>
      <c r="H86" s="100">
        <f t="shared" si="40"/>
        <v>13922948855768</v>
      </c>
      <c r="I86" s="100">
        <f t="shared" si="55"/>
        <v>-1.592947600743831E+16</v>
      </c>
      <c r="J86" s="132">
        <f t="shared" si="41"/>
        <v>0.12007810422444941</v>
      </c>
      <c r="K86" s="132">
        <f t="shared" si="42"/>
        <v>0.12125293217721075</v>
      </c>
      <c r="L86" s="132">
        <f t="shared" si="43"/>
        <v>0.12125293217721075</v>
      </c>
      <c r="M86" s="132">
        <f>IF(A86&lt;$E$6,"",calcfit(Jo_1,Jo_2,Rshunt,Jsc,D86))</f>
        <v>0.12572409685827357</v>
      </c>
      <c r="N86" s="100">
        <f t="shared" si="44"/>
        <v>1.2647488201610354E-3</v>
      </c>
      <c r="O86" s="100">
        <f t="shared" si="56"/>
        <v>8.4686027109681387E-6</v>
      </c>
      <c r="P86" s="103" t="str">
        <f t="shared" si="45"/>
        <v/>
      </c>
      <c r="Q86" s="103" t="str">
        <f t="shared" si="46"/>
        <v/>
      </c>
      <c r="R86" s="103">
        <f t="shared" si="47"/>
        <v>0.54037250859999997</v>
      </c>
      <c r="S86" s="103" t="str">
        <f t="shared" si="48"/>
        <v/>
      </c>
      <c r="T86" s="103">
        <f t="shared" si="49"/>
        <v>-0.91630775035056267</v>
      </c>
      <c r="U86" s="97">
        <f t="shared" si="50"/>
        <v>3.4361646593074523E-2</v>
      </c>
      <c r="V86" s="103" t="str">
        <f t="shared" si="51"/>
        <v/>
      </c>
      <c r="W86" s="103" t="str">
        <f t="shared" si="52"/>
        <v/>
      </c>
      <c r="X86" s="132">
        <f t="shared" si="53"/>
        <v>1.8568089169126323E-2</v>
      </c>
    </row>
    <row r="87" spans="1:24">
      <c r="A87" s="131">
        <v>8.1639999999999994E-3</v>
      </c>
      <c r="B87" s="131">
        <v>0.54062200000000005</v>
      </c>
      <c r="C87" s="131">
        <v>1.2241E-2</v>
      </c>
      <c r="D87" s="132">
        <f t="shared" si="38"/>
        <v>0.53720850860000002</v>
      </c>
      <c r="E87" s="132">
        <f t="shared" si="54"/>
        <v>-30.423076923076415</v>
      </c>
      <c r="F87" s="100">
        <f t="shared" si="39"/>
        <v>12312474093975.5</v>
      </c>
      <c r="G87" s="100">
        <f>IF(WaferType="p-type",n_intr_boltzmann(0,SampleDoping,F87,298.15),n_intr_boltzmann(SampleDoping,0,F87,298.15))</f>
        <v>8874201001.6869164</v>
      </c>
      <c r="H87" s="100">
        <f t="shared" si="40"/>
        <v>12312474093975.5</v>
      </c>
      <c r="I87" s="100">
        <f t="shared" si="55"/>
        <v>-1.4554638830974244E+16</v>
      </c>
      <c r="J87" s="132">
        <f t="shared" si="41"/>
        <v>0.11425387281861525</v>
      </c>
      <c r="K87" s="132">
        <f t="shared" si="42"/>
        <v>0.11532730401829751</v>
      </c>
      <c r="L87" s="132">
        <f t="shared" si="43"/>
        <v>0.11532730401829751</v>
      </c>
      <c r="M87" s="132">
        <f>IF(A87&lt;$E$6,"",calcfit(Jo_1,Jo_2,Rshunt,Jsc,D87))</f>
        <v>0.11890333917985874</v>
      </c>
      <c r="N87" s="100">
        <f t="shared" si="44"/>
        <v>9.0451434411153379E-4</v>
      </c>
      <c r="O87" s="100">
        <f t="shared" si="56"/>
        <v>7.8738288600384697E-6</v>
      </c>
      <c r="P87" s="103" t="str">
        <f t="shared" si="45"/>
        <v/>
      </c>
      <c r="Q87" s="103" t="str">
        <f t="shared" si="46"/>
        <v/>
      </c>
      <c r="R87" s="103">
        <f t="shared" si="47"/>
        <v>0.53720850860000002</v>
      </c>
      <c r="S87" s="103" t="str">
        <f t="shared" si="48"/>
        <v/>
      </c>
      <c r="T87" s="103">
        <f t="shared" si="49"/>
        <v>-0.93806786026240119</v>
      </c>
      <c r="U87" s="97">
        <f t="shared" si="50"/>
        <v>3.4593356430972513E-2</v>
      </c>
      <c r="V87" s="103" t="str">
        <f t="shared" si="51"/>
        <v/>
      </c>
      <c r="W87" s="103" t="str">
        <f t="shared" si="52"/>
        <v/>
      </c>
      <c r="X87" s="132">
        <f t="shared" si="53"/>
        <v>1.8583845415750963E-2</v>
      </c>
    </row>
    <row r="88" spans="1:24">
      <c r="A88" s="131">
        <v>8.2679999999999993E-3</v>
      </c>
      <c r="B88" s="131">
        <v>0.53740299999999996</v>
      </c>
      <c r="C88" s="131">
        <v>1.1672E-2</v>
      </c>
      <c r="D88" s="132">
        <f t="shared" si="38"/>
        <v>0.53398950859999994</v>
      </c>
      <c r="E88" s="132">
        <f t="shared" si="54"/>
        <v>-30.951923076923897</v>
      </c>
      <c r="F88" s="100">
        <f t="shared" si="39"/>
        <v>10864756181267.5</v>
      </c>
      <c r="G88" s="100">
        <f>IF(WaferType="p-type",n_intr_boltzmann(0,SampleDoping,F88,298.15),n_intr_boltzmann(SampleDoping,0,F88,298.15))</f>
        <v>8874164497.8676929</v>
      </c>
      <c r="H88" s="100">
        <f t="shared" si="40"/>
        <v>10864756181267.5</v>
      </c>
      <c r="I88" s="100">
        <f t="shared" si="55"/>
        <v>-1.3069147788976472E+16</v>
      </c>
      <c r="J88" s="132">
        <f t="shared" si="41"/>
        <v>0.10894299514246199</v>
      </c>
      <c r="K88" s="132">
        <f t="shared" si="42"/>
        <v>0.1099068686643587</v>
      </c>
      <c r="L88" s="132">
        <f t="shared" si="43"/>
        <v>0.1099068686643587</v>
      </c>
      <c r="M88" s="132">
        <f>IF(A88&lt;$E$6,"",calcfit(Jo_1,Jo_2,Rshunt,Jsc,D88))</f>
        <v>0.11244958088092982</v>
      </c>
      <c r="N88" s="100">
        <f t="shared" si="44"/>
        <v>5.1130346645744413E-4</v>
      </c>
      <c r="O88" s="100">
        <f t="shared" si="56"/>
        <v>7.2906782257053265E-6</v>
      </c>
      <c r="P88" s="103" t="str">
        <f t="shared" si="45"/>
        <v/>
      </c>
      <c r="Q88" s="103" t="str">
        <f t="shared" si="46"/>
        <v/>
      </c>
      <c r="R88" s="103">
        <f t="shared" si="47"/>
        <v>0.53398950859999994</v>
      </c>
      <c r="S88" s="103" t="str">
        <f t="shared" si="48"/>
        <v/>
      </c>
      <c r="T88" s="103">
        <f t="shared" si="49"/>
        <v>-0.95897516535799621</v>
      </c>
      <c r="U88" s="97">
        <f t="shared" si="50"/>
        <v>3.4805311714617579E-2</v>
      </c>
      <c r="V88" s="103" t="str">
        <f t="shared" si="51"/>
        <v/>
      </c>
      <c r="W88" s="103" t="str">
        <f t="shared" si="52"/>
        <v/>
      </c>
      <c r="X88" s="132">
        <f t="shared" si="53"/>
        <v>1.8585671299158463E-2</v>
      </c>
    </row>
    <row r="89" spans="1:24">
      <c r="A89" s="131">
        <v>8.3719999999999992E-3</v>
      </c>
      <c r="B89" s="131">
        <v>0.53406799999999999</v>
      </c>
      <c r="C89" s="131">
        <v>1.1110999999999999E-2</v>
      </c>
      <c r="D89" s="132">
        <f t="shared" si="38"/>
        <v>0.53065450859999996</v>
      </c>
      <c r="E89" s="132">
        <f t="shared" si="54"/>
        <v>-32.067307692307494</v>
      </c>
      <c r="F89" s="100">
        <f t="shared" si="39"/>
        <v>9543907700882.5</v>
      </c>
      <c r="G89" s="100">
        <f>IF(WaferType="p-type",n_intr_boltzmann(0,SampleDoping,F89,298.15),n_intr_boltzmann(SampleDoping,0,F89,298.15))</f>
        <v>8874131195.2195473</v>
      </c>
      <c r="H89" s="100">
        <f t="shared" si="40"/>
        <v>9543907700882.5</v>
      </c>
      <c r="I89" s="100">
        <f t="shared" si="55"/>
        <v>-1.1896179408884132E+16</v>
      </c>
      <c r="J89" s="132">
        <f t="shared" si="41"/>
        <v>0.10370678709971685</v>
      </c>
      <c r="K89" s="132">
        <f t="shared" si="42"/>
        <v>0.10458415206100591</v>
      </c>
      <c r="L89" s="132">
        <f t="shared" si="43"/>
        <v>0.10458415206100591</v>
      </c>
      <c r="M89" s="132">
        <f>IF(A89&lt;$E$6,"",calcfit(Jo_1,Jo_2,Rshunt,Jsc,D89))</f>
        <v>0.10623860603457169</v>
      </c>
      <c r="N89" s="100">
        <f t="shared" si="44"/>
        <v>2.4251837643184278E-4</v>
      </c>
      <c r="O89" s="100">
        <f t="shared" si="56"/>
        <v>6.7302799920399791E-6</v>
      </c>
      <c r="P89" s="103" t="str">
        <f t="shared" si="45"/>
        <v/>
      </c>
      <c r="Q89" s="103" t="str">
        <f t="shared" si="46"/>
        <v/>
      </c>
      <c r="R89" s="103">
        <f t="shared" si="47"/>
        <v>0.53065450859999996</v>
      </c>
      <c r="S89" s="103" t="str">
        <f t="shared" si="48"/>
        <v/>
      </c>
      <c r="T89" s="103">
        <f t="shared" si="49"/>
        <v>-0.98053412038178434</v>
      </c>
      <c r="U89" s="97">
        <f t="shared" si="50"/>
        <v>3.5013445901958484E-2</v>
      </c>
      <c r="V89" s="103" t="str">
        <f t="shared" si="51"/>
        <v/>
      </c>
      <c r="W89" s="103" t="str">
        <f t="shared" si="52"/>
        <v/>
      </c>
      <c r="X89" s="132">
        <f t="shared" si="53"/>
        <v>1.858004292949646E-2</v>
      </c>
    </row>
    <row r="90" spans="1:24">
      <c r="A90" s="131">
        <v>8.4759999999999992E-3</v>
      </c>
      <c r="B90" s="131">
        <v>0.53058499999999997</v>
      </c>
      <c r="C90" s="131">
        <v>1.0584E-2</v>
      </c>
      <c r="D90" s="132">
        <f t="shared" si="38"/>
        <v>0.52717150859999995</v>
      </c>
      <c r="E90" s="132">
        <f t="shared" si="54"/>
        <v>-33.490384615384777</v>
      </c>
      <c r="F90" s="100">
        <f t="shared" si="39"/>
        <v>8335353597522.5</v>
      </c>
      <c r="G90" s="100">
        <f>IF(WaferType="p-type",n_intr_boltzmann(0,SampleDoping,F90,298.15),n_intr_boltzmann(SampleDoping,0,F90,298.15))</f>
        <v>8874100724.5263805</v>
      </c>
      <c r="H90" s="100">
        <f t="shared" si="40"/>
        <v>8335353597522.5</v>
      </c>
      <c r="I90" s="100">
        <f t="shared" si="55"/>
        <v>-1.0852639528560984E+16</v>
      </c>
      <c r="J90" s="132">
        <f t="shared" si="41"/>
        <v>9.8787924998956278E-2</v>
      </c>
      <c r="K90" s="132">
        <f t="shared" si="42"/>
        <v>9.9588326987913256E-2</v>
      </c>
      <c r="L90" s="132">
        <f t="shared" si="43"/>
        <v>9.9588326987913256E-2</v>
      </c>
      <c r="M90" s="132">
        <f>IF(A90&lt;$E$6,"",calcfit(Jo_1,Jo_2,Rshunt,Jsc,D90))</f>
        <v>0.10022640236807211</v>
      </c>
      <c r="N90" s="100">
        <f t="shared" si="44"/>
        <v>4.0530288261383384E-5</v>
      </c>
      <c r="O90" s="100">
        <f t="shared" si="56"/>
        <v>6.172887646508734E-6</v>
      </c>
      <c r="P90" s="103" t="str">
        <f t="shared" si="45"/>
        <v/>
      </c>
      <c r="Q90" s="103" t="str">
        <f t="shared" si="46"/>
        <v/>
      </c>
      <c r="R90" s="103">
        <f t="shared" si="47"/>
        <v>0.52717150859999995</v>
      </c>
      <c r="S90" s="103" t="str">
        <f t="shared" si="48"/>
        <v/>
      </c>
      <c r="T90" s="103">
        <f t="shared" si="49"/>
        <v>-1.0017915634019146</v>
      </c>
      <c r="U90" s="97">
        <f t="shared" si="50"/>
        <v>3.520879764979163E-2</v>
      </c>
      <c r="V90" s="103" t="str">
        <f t="shared" si="51"/>
        <v/>
      </c>
      <c r="W90" s="103" t="str">
        <f t="shared" si="52"/>
        <v/>
      </c>
      <c r="X90" s="132">
        <f t="shared" si="53"/>
        <v>1.8561074973032787E-2</v>
      </c>
    </row>
    <row r="91" spans="1:24">
      <c r="A91" s="131">
        <v>8.5800000000000008E-3</v>
      </c>
      <c r="B91" s="131">
        <v>0.52701399999999998</v>
      </c>
      <c r="C91" s="131">
        <v>1.0089000000000001E-2</v>
      </c>
      <c r="D91" s="132">
        <f t="shared" si="38"/>
        <v>0.52360050859999996</v>
      </c>
      <c r="E91" s="132">
        <f t="shared" si="54"/>
        <v>-34.336538461537828</v>
      </c>
      <c r="F91" s="100">
        <f t="shared" si="39"/>
        <v>7254819921538.5</v>
      </c>
      <c r="G91" s="100">
        <f>IF(WaferType="p-type",n_intr_boltzmann(0,SampleDoping,F91,298.15),n_intr_boltzmann(SampleDoping,0,F91,298.15))</f>
        <v>8874073480.8722649</v>
      </c>
      <c r="H91" s="100">
        <f t="shared" si="40"/>
        <v>7254819921538.5</v>
      </c>
      <c r="I91" s="100">
        <f t="shared" si="55"/>
        <v>-9685881679342116</v>
      </c>
      <c r="J91" s="132">
        <f t="shared" si="41"/>
        <v>9.4167741431828225E-2</v>
      </c>
      <c r="K91" s="132">
        <f t="shared" si="42"/>
        <v>9.48820928981738E-2</v>
      </c>
      <c r="L91" s="132">
        <f t="shared" si="43"/>
        <v>9.48820928981738E-2</v>
      </c>
      <c r="M91" s="132">
        <f>IF(A91&lt;$E$6,"",calcfit(Jo_1,Jo_2,Rshunt,Jsc,D91))</f>
        <v>9.4523605263871907E-2</v>
      </c>
      <c r="N91" s="100">
        <f t="shared" si="44"/>
        <v>1.4383606839999601E-5</v>
      </c>
      <c r="O91" s="100">
        <f t="shared" si="56"/>
        <v>5.6391696759729812E-6</v>
      </c>
      <c r="P91" s="103" t="str">
        <f t="shared" si="45"/>
        <v/>
      </c>
      <c r="Q91" s="103" t="str">
        <f t="shared" si="46"/>
        <v/>
      </c>
      <c r="R91" s="103">
        <f t="shared" si="47"/>
        <v>0.52360050859999996</v>
      </c>
      <c r="S91" s="103" t="str">
        <f t="shared" si="48"/>
        <v/>
      </c>
      <c r="T91" s="103">
        <f t="shared" si="49"/>
        <v>-1.022815744256969</v>
      </c>
      <c r="U91" s="97">
        <f t="shared" si="50"/>
        <v>3.5392825521402708E-2</v>
      </c>
      <c r="V91" s="103" t="str">
        <f t="shared" si="51"/>
        <v/>
      </c>
      <c r="W91" s="103" t="str">
        <f t="shared" si="52"/>
        <v/>
      </c>
      <c r="X91" s="132">
        <f t="shared" si="53"/>
        <v>1.8531701443797517E-2</v>
      </c>
    </row>
    <row r="92" spans="1:24">
      <c r="A92" s="131">
        <v>8.6840000000000007E-3</v>
      </c>
      <c r="B92" s="131">
        <v>0.52336199999999999</v>
      </c>
      <c r="C92" s="131">
        <v>9.5879999999999993E-3</v>
      </c>
      <c r="D92" s="132">
        <f t="shared" si="38"/>
        <v>0.51994850859999997</v>
      </c>
      <c r="E92" s="132">
        <f t="shared" si="54"/>
        <v>-35.115384615384528</v>
      </c>
      <c r="F92" s="100">
        <f t="shared" si="39"/>
        <v>6294378501918</v>
      </c>
      <c r="G92" s="100">
        <f>IF(WaferType="p-type",n_intr_boltzmann(0,SampleDoping,F92,298.15),n_intr_boltzmann(SampleDoping,0,F92,298.15))</f>
        <v>8874049263.3299065</v>
      </c>
      <c r="H92" s="100">
        <f t="shared" si="40"/>
        <v>6294378501918</v>
      </c>
      <c r="I92" s="100">
        <f t="shared" si="55"/>
        <v>-8595356926292784</v>
      </c>
      <c r="J92" s="132">
        <f t="shared" si="41"/>
        <v>8.949155563964406E-2</v>
      </c>
      <c r="K92" s="132">
        <f t="shared" si="42"/>
        <v>9.0125478913470156E-2</v>
      </c>
      <c r="L92" s="132">
        <f t="shared" si="43"/>
        <v>9.0125478913470156E-2</v>
      </c>
      <c r="M92" s="132">
        <f>IF(A92&lt;$E$6,"",calcfit(Jo_1,Jo_2,Rshunt,Jsc,D92))</f>
        <v>8.9133538336211182E-2</v>
      </c>
      <c r="N92" s="100">
        <f t="shared" si="44"/>
        <v>1.2384800593487948E-4</v>
      </c>
      <c r="O92" s="100">
        <f t="shared" si="56"/>
        <v>5.1508398911764453E-6</v>
      </c>
      <c r="P92" s="103" t="str">
        <f t="shared" si="45"/>
        <v/>
      </c>
      <c r="Q92" s="103" t="str">
        <f t="shared" si="46"/>
        <v/>
      </c>
      <c r="R92" s="103">
        <f t="shared" si="47"/>
        <v>0.51994850859999997</v>
      </c>
      <c r="S92" s="103" t="str">
        <f t="shared" si="48"/>
        <v/>
      </c>
      <c r="T92" s="103">
        <f t="shared" si="49"/>
        <v>-1.0451524144897153</v>
      </c>
      <c r="U92" s="97">
        <f t="shared" si="50"/>
        <v>3.5578823398046577E-2</v>
      </c>
      <c r="V92" s="103" t="str">
        <f t="shared" si="51"/>
        <v/>
      </c>
      <c r="W92" s="103" t="str">
        <f t="shared" si="52"/>
        <v/>
      </c>
      <c r="X92" s="132">
        <f t="shared" si="53"/>
        <v>1.8499156163557101E-2</v>
      </c>
    </row>
    <row r="93" spans="1:24">
      <c r="A93" s="131">
        <v>8.7880000000000007E-3</v>
      </c>
      <c r="B93" s="131">
        <v>0.51960399999999995</v>
      </c>
      <c r="C93" s="131">
        <v>9.1199999999999996E-3</v>
      </c>
      <c r="D93" s="132">
        <f t="shared" si="38"/>
        <v>0.51619050859999993</v>
      </c>
      <c r="E93" s="132">
        <f t="shared" si="54"/>
        <v>-36.134615384615785</v>
      </c>
      <c r="F93" s="100">
        <f t="shared" si="39"/>
        <v>5438523686167.5</v>
      </c>
      <c r="G93" s="100">
        <f>IF(WaferType="p-type",n_intr_boltzmann(0,SampleDoping,F93,298.15),n_intr_boltzmann(SampleDoping,0,F93,298.15))</f>
        <v>8874027680.227232</v>
      </c>
      <c r="H93" s="100">
        <f t="shared" si="40"/>
        <v>5438523686167.5</v>
      </c>
      <c r="I93" s="100">
        <f t="shared" si="55"/>
        <v>-7643098496774300</v>
      </c>
      <c r="J93" s="132">
        <f t="shared" si="41"/>
        <v>8.5123382085268443E-2</v>
      </c>
      <c r="K93" s="132">
        <f t="shared" si="42"/>
        <v>8.5687074560496485E-2</v>
      </c>
      <c r="L93" s="132">
        <f t="shared" si="43"/>
        <v>8.5687074560496485E-2</v>
      </c>
      <c r="M93" s="132">
        <f>IF(A93&lt;$E$6,"",calcfit(Jo_1,Jo_2,Rshunt,Jsc,D93))</f>
        <v>8.4013568674106948E-2</v>
      </c>
      <c r="N93" s="100">
        <f t="shared" si="44"/>
        <v>3.9678534463653196E-4</v>
      </c>
      <c r="O93" s="100">
        <f t="shared" si="56"/>
        <v>4.680998366054487E-6</v>
      </c>
      <c r="P93" s="103" t="str">
        <f t="shared" si="45"/>
        <v/>
      </c>
      <c r="Q93" s="103" t="str">
        <f t="shared" si="46"/>
        <v/>
      </c>
      <c r="R93" s="103">
        <f t="shared" si="47"/>
        <v>0.51619050859999993</v>
      </c>
      <c r="S93" s="103" t="str">
        <f t="shared" si="48"/>
        <v/>
      </c>
      <c r="T93" s="103">
        <f t="shared" si="49"/>
        <v>-1.0670846841492707</v>
      </c>
      <c r="U93" s="97">
        <f t="shared" si="50"/>
        <v>3.5752378323460905E-2</v>
      </c>
      <c r="V93" s="103" t="str">
        <f t="shared" si="51"/>
        <v/>
      </c>
      <c r="W93" s="103" t="str">
        <f t="shared" si="52"/>
        <v/>
      </c>
      <c r="X93" s="132">
        <f t="shared" si="53"/>
        <v>1.8455038350446897E-2</v>
      </c>
    </row>
    <row r="94" spans="1:24">
      <c r="A94" s="131">
        <v>8.8920000000000006E-3</v>
      </c>
      <c r="B94" s="131">
        <v>0.51571500000000003</v>
      </c>
      <c r="C94" s="131">
        <v>8.6859999999999993E-3</v>
      </c>
      <c r="D94" s="132">
        <f t="shared" si="38"/>
        <v>0.51230150860000001</v>
      </c>
      <c r="E94" s="132">
        <f t="shared" si="54"/>
        <v>-37.394230769230035</v>
      </c>
      <c r="F94" s="100">
        <f t="shared" si="39"/>
        <v>4675082592218.5</v>
      </c>
      <c r="G94" s="100">
        <f>IF(WaferType="p-type",n_intr_boltzmann(0,SampleDoping,F94,298.15),n_intr_boltzmann(SampleDoping,0,F94,298.15))</f>
        <v>8874008424.1268444</v>
      </c>
      <c r="H94" s="100">
        <f t="shared" si="40"/>
        <v>4675082592218.5</v>
      </c>
      <c r="I94" s="100">
        <f t="shared" si="55"/>
        <v>-6799934363871810</v>
      </c>
      <c r="J94" s="132">
        <f t="shared" si="41"/>
        <v>8.1072554472877381E-2</v>
      </c>
      <c r="K94" s="132">
        <f t="shared" si="42"/>
        <v>8.1574062053157398E-2</v>
      </c>
      <c r="L94" s="132">
        <f t="shared" si="43"/>
        <v>8.1574062053157398E-2</v>
      </c>
      <c r="M94" s="132">
        <f>IF(A94&lt;$E$6,"",calcfit(Jo_1,Jo_2,Rshunt,Jsc,D94))</f>
        <v>7.9130804969971061E-2</v>
      </c>
      <c r="N94" s="100">
        <f t="shared" si="44"/>
        <v>9.5333857363591955E-4</v>
      </c>
      <c r="O94" s="100">
        <f t="shared" si="56"/>
        <v>4.226783270692687E-6</v>
      </c>
      <c r="P94" s="103" t="str">
        <f t="shared" si="45"/>
        <v/>
      </c>
      <c r="Q94" s="103" t="str">
        <f t="shared" si="46"/>
        <v/>
      </c>
      <c r="R94" s="103">
        <f t="shared" si="47"/>
        <v>0.51230150860000001</v>
      </c>
      <c r="S94" s="103" t="str">
        <f t="shared" si="48"/>
        <v/>
      </c>
      <c r="T94" s="103">
        <f t="shared" si="49"/>
        <v>-1.0884479110733991</v>
      </c>
      <c r="U94" s="97">
        <f t="shared" si="50"/>
        <v>3.5913209451535387E-2</v>
      </c>
      <c r="V94" s="103" t="str">
        <f t="shared" si="51"/>
        <v/>
      </c>
      <c r="W94" s="103" t="str">
        <f t="shared" si="52"/>
        <v/>
      </c>
      <c r="X94" s="132">
        <f t="shared" si="53"/>
        <v>1.8398391380689359E-2</v>
      </c>
    </row>
    <row r="95" spans="1:24">
      <c r="A95" s="131">
        <v>8.9960000000000005E-3</v>
      </c>
      <c r="B95" s="131">
        <v>0.51172300000000004</v>
      </c>
      <c r="C95" s="131">
        <v>8.2710000000000006E-3</v>
      </c>
      <c r="D95" s="132">
        <f t="shared" si="38"/>
        <v>0.50830950860000002</v>
      </c>
      <c r="E95" s="132">
        <f t="shared" si="54"/>
        <v>-38.384615384615373</v>
      </c>
      <c r="F95" s="100">
        <f t="shared" si="39"/>
        <v>4002681402754</v>
      </c>
      <c r="G95" s="100">
        <f>IF(WaferType="p-type",n_intr_boltzmann(0,SampleDoping,F95,298.15),n_intr_boltzmann(SampleDoping,0,F95,298.15))</f>
        <v>8873991460.179697</v>
      </c>
      <c r="H95" s="100">
        <f t="shared" si="40"/>
        <v>4002681402754</v>
      </c>
      <c r="I95" s="100">
        <f t="shared" si="55"/>
        <v>-5976672047160451</v>
      </c>
      <c r="J95" s="132">
        <f t="shared" si="41"/>
        <v>7.7199067239830638E-2</v>
      </c>
      <c r="K95" s="132">
        <f t="shared" si="42"/>
        <v>7.7639857720459934E-2</v>
      </c>
      <c r="L95" s="132">
        <f t="shared" si="43"/>
        <v>7.7639857720459934E-2</v>
      </c>
      <c r="M95" s="132">
        <f>IF(A95&lt;$E$6,"",calcfit(Jo_1,Jo_2,Rshunt,Jsc,D95))</f>
        <v>7.4519310278262266E-2</v>
      </c>
      <c r="N95" s="100">
        <f t="shared" si="44"/>
        <v>1.7535733072983964E-3</v>
      </c>
      <c r="O95" s="100">
        <f t="shared" si="56"/>
        <v>3.8022360360622993E-6</v>
      </c>
      <c r="P95" s="103" t="str">
        <f t="shared" si="45"/>
        <v/>
      </c>
      <c r="Q95" s="103" t="str">
        <f t="shared" si="46"/>
        <v/>
      </c>
      <c r="R95" s="103">
        <f t="shared" si="47"/>
        <v>0.50830950860000002</v>
      </c>
      <c r="S95" s="103" t="str">
        <f t="shared" si="48"/>
        <v/>
      </c>
      <c r="T95" s="103">
        <f t="shared" si="49"/>
        <v>-1.1099152691527598</v>
      </c>
      <c r="U95" s="97">
        <f t="shared" si="50"/>
        <v>3.6067048643556858E-2</v>
      </c>
      <c r="V95" s="103" t="str">
        <f t="shared" si="51"/>
        <v/>
      </c>
      <c r="W95" s="103" t="str">
        <f t="shared" si="52"/>
        <v/>
      </c>
      <c r="X95" s="132">
        <f t="shared" si="53"/>
        <v>1.8333223772658683E-2</v>
      </c>
    </row>
    <row r="96" spans="1:24">
      <c r="A96" s="131">
        <v>9.1000000000000004E-3</v>
      </c>
      <c r="B96" s="131">
        <v>0.50756500000000004</v>
      </c>
      <c r="C96" s="131">
        <v>7.8829999999999994E-3</v>
      </c>
      <c r="D96" s="132">
        <f t="shared" si="38"/>
        <v>0.50415150860000002</v>
      </c>
      <c r="E96" s="132">
        <f t="shared" si="54"/>
        <v>-39.980769230769212</v>
      </c>
      <c r="F96" s="100">
        <f t="shared" si="39"/>
        <v>3404883829752</v>
      </c>
      <c r="G96" s="100">
        <f>IF(WaferType="p-type",n_intr_boltzmann(0,SampleDoping,F96,298.15),n_intr_boltzmann(SampleDoping,0,F96,298.15))</f>
        <v>8873976373.6951752</v>
      </c>
      <c r="H96" s="100">
        <f t="shared" si="40"/>
        <v>3404883829752</v>
      </c>
      <c r="I96" s="100">
        <f t="shared" si="55"/>
        <v>-5295909597328705</v>
      </c>
      <c r="J96" s="132">
        <f t="shared" si="41"/>
        <v>7.3577590019536301E-2</v>
      </c>
      <c r="K96" s="132">
        <f t="shared" si="42"/>
        <v>7.3968173025991346E-2</v>
      </c>
      <c r="L96" s="132">
        <f t="shared" si="43"/>
        <v>7.3968173025991346E-2</v>
      </c>
      <c r="M96" s="132">
        <f>IF(A96&lt;$E$6,"",calcfit(Jo_1,Jo_2,Rshunt,Jsc,D96))</f>
        <v>7.0108277890382625E-2</v>
      </c>
      <c r="N96" s="100">
        <f t="shared" si="44"/>
        <v>3.0311847915785064E-3</v>
      </c>
      <c r="O96" s="100">
        <f t="shared" si="56"/>
        <v>3.3949250282157351E-6</v>
      </c>
      <c r="P96" s="103" t="str">
        <f t="shared" si="45"/>
        <v/>
      </c>
      <c r="Q96" s="103" t="str">
        <f t="shared" si="46"/>
        <v/>
      </c>
      <c r="R96" s="103">
        <f t="shared" si="47"/>
        <v>0.50415150860000002</v>
      </c>
      <c r="S96" s="103" t="str">
        <f t="shared" si="48"/>
        <v/>
      </c>
      <c r="T96" s="103">
        <f t="shared" si="49"/>
        <v>-1.1309551080052611</v>
      </c>
      <c r="U96" s="97">
        <f t="shared" si="50"/>
        <v>3.621062253016466E-2</v>
      </c>
      <c r="V96" s="103" t="str">
        <f t="shared" si="51"/>
        <v/>
      </c>
      <c r="W96" s="103" t="str">
        <f t="shared" si="52"/>
        <v/>
      </c>
      <c r="X96" s="132">
        <f t="shared" si="53"/>
        <v>1.8255639975927662E-2</v>
      </c>
    </row>
    <row r="97" spans="1:24">
      <c r="A97" s="131">
        <v>9.2040000000000004E-3</v>
      </c>
      <c r="B97" s="131">
        <v>0.50332500000000002</v>
      </c>
      <c r="C97" s="131">
        <v>7.509E-3</v>
      </c>
      <c r="D97" s="132">
        <f t="shared" si="38"/>
        <v>0.4999115086</v>
      </c>
      <c r="E97" s="132">
        <f t="shared" si="54"/>
        <v>-40.769230769231008</v>
      </c>
      <c r="F97" s="100">
        <f t="shared" si="39"/>
        <v>2887105671492</v>
      </c>
      <c r="G97" s="100">
        <f>IF(WaferType="p-type",n_intr_boltzmann(0,SampleDoping,F97,298.15),n_intr_boltzmann(SampleDoping,0,F97,298.15))</f>
        <v>8873963301.5739269</v>
      </c>
      <c r="H97" s="100">
        <f t="shared" si="40"/>
        <v>2887105671492</v>
      </c>
      <c r="I97" s="100">
        <f t="shared" si="55"/>
        <v>-4579451092666366</v>
      </c>
      <c r="J97" s="132">
        <f t="shared" si="41"/>
        <v>7.0086784657706222E-2</v>
      </c>
      <c r="K97" s="132">
        <f t="shared" si="42"/>
        <v>7.0424527540739898E-2</v>
      </c>
      <c r="L97" s="132">
        <f t="shared" si="43"/>
        <v>7.0424527540739898E-2</v>
      </c>
      <c r="M97" s="132">
        <f>IF(A97&lt;$E$6,"",calcfit(Jo_1,Jo_2,Rshunt,Jsc,D97))</f>
        <v>6.5984239439433975E-2</v>
      </c>
      <c r="N97" s="100">
        <f t="shared" si="44"/>
        <v>4.5283696259754572E-3</v>
      </c>
      <c r="O97" s="100">
        <f t="shared" si="56"/>
        <v>3.0235107621397264E-6</v>
      </c>
      <c r="P97" s="103" t="str">
        <f t="shared" si="45"/>
        <v/>
      </c>
      <c r="Q97" s="103" t="str">
        <f t="shared" si="46"/>
        <v/>
      </c>
      <c r="R97" s="103">
        <f t="shared" si="47"/>
        <v>0.4999115086</v>
      </c>
      <c r="S97" s="103" t="str">
        <f t="shared" si="48"/>
        <v/>
      </c>
      <c r="T97" s="103">
        <f t="shared" si="49"/>
        <v>-1.1522760578975721</v>
      </c>
      <c r="U97" s="97">
        <f t="shared" si="50"/>
        <v>3.6349189699574444E-2</v>
      </c>
      <c r="V97" s="103" t="str">
        <f t="shared" si="51"/>
        <v/>
      </c>
      <c r="W97" s="103" t="str">
        <f t="shared" si="52"/>
        <v/>
      </c>
      <c r="X97" s="132">
        <f t="shared" si="53"/>
        <v>1.8171378259101843E-2</v>
      </c>
    </row>
    <row r="98" spans="1:24">
      <c r="A98" s="131">
        <v>9.3080000000000003E-3</v>
      </c>
      <c r="B98" s="131">
        <v>0.49892399999999998</v>
      </c>
      <c r="C98" s="131">
        <v>7.1149999999999998E-3</v>
      </c>
      <c r="D98" s="132">
        <f t="shared" si="38"/>
        <v>0.49551050859999995</v>
      </c>
      <c r="E98" s="132">
        <f t="shared" si="54"/>
        <v>-42.317307692308141</v>
      </c>
      <c r="F98" s="100">
        <f t="shared" si="39"/>
        <v>2432751719990</v>
      </c>
      <c r="G98" s="100">
        <f>IF(WaferType="p-type",n_intr_boltzmann(0,SampleDoping,F98,298.15),n_intr_boltzmann(SampleDoping,0,F98,298.15))</f>
        <v>8873951825.2744961</v>
      </c>
      <c r="H98" s="100">
        <f t="shared" si="40"/>
        <v>2432751719990</v>
      </c>
      <c r="I98" s="100">
        <f t="shared" si="55"/>
        <v>-4005542555747676</v>
      </c>
      <c r="J98" s="132">
        <f t="shared" si="41"/>
        <v>6.6409305212355815E-2</v>
      </c>
      <c r="K98" s="132">
        <f t="shared" si="42"/>
        <v>6.6704721292474844E-2</v>
      </c>
      <c r="L98" s="132">
        <f t="shared" si="43"/>
        <v>6.6704721292474844E-2</v>
      </c>
      <c r="M98" s="132">
        <f>IF(A98&lt;$E$6,"",calcfit(Jo_1,Jo_2,Rshunt,Jsc,D98))</f>
        <v>6.2065287567549421E-2</v>
      </c>
      <c r="N98" s="100">
        <f t="shared" si="44"/>
        <v>5.5876913190941258E-3</v>
      </c>
      <c r="O98" s="100">
        <f t="shared" si="56"/>
        <v>2.6897628773955216E-6</v>
      </c>
      <c r="P98" s="103" t="str">
        <f t="shared" si="45"/>
        <v/>
      </c>
      <c r="Q98" s="103" t="str">
        <f t="shared" si="46"/>
        <v/>
      </c>
      <c r="R98" s="103">
        <f t="shared" si="47"/>
        <v>0.49551050859999995</v>
      </c>
      <c r="S98" s="103" t="str">
        <f t="shared" si="48"/>
        <v/>
      </c>
      <c r="T98" s="103">
        <f t="shared" si="49"/>
        <v>-1.1758434260728987</v>
      </c>
      <c r="U98" s="97">
        <f t="shared" si="50"/>
        <v>3.6494645283300355E-2</v>
      </c>
      <c r="V98" s="103" t="str">
        <f t="shared" si="51"/>
        <v/>
      </c>
      <c r="W98" s="103" t="str">
        <f t="shared" si="52"/>
        <v/>
      </c>
      <c r="X98" s="132">
        <f t="shared" si="53"/>
        <v>1.8083480245504747E-2</v>
      </c>
    </row>
    <row r="99" spans="1:24">
      <c r="A99" s="131">
        <v>9.4120000000000002E-3</v>
      </c>
      <c r="B99" s="131">
        <v>0.49443599999999999</v>
      </c>
      <c r="C99" s="131">
        <v>6.7910000000000002E-3</v>
      </c>
      <c r="D99" s="132">
        <f t="shared" si="38"/>
        <v>0.49102250859999996</v>
      </c>
      <c r="E99" s="132">
        <f t="shared" si="54"/>
        <v>-43.153846153846111</v>
      </c>
      <c r="F99" s="100">
        <f t="shared" si="39"/>
        <v>2042953176656</v>
      </c>
      <c r="G99" s="100">
        <f>IF(WaferType="p-type",n_intr_boltzmann(0,SampleDoping,F99,298.15),n_intr_boltzmann(SampleDoping,0,F99,298.15))</f>
        <v>8873941973.9452763</v>
      </c>
      <c r="H99" s="100">
        <f t="shared" si="40"/>
        <v>2042953176656</v>
      </c>
      <c r="I99" s="100">
        <f t="shared" si="55"/>
        <v>-3430416745277748.5</v>
      </c>
      <c r="J99" s="132">
        <f t="shared" si="41"/>
        <v>6.338518505932654E-2</v>
      </c>
      <c r="K99" s="132">
        <f t="shared" si="42"/>
        <v>6.3638184560383004E-2</v>
      </c>
      <c r="L99" s="132">
        <f t="shared" si="43"/>
        <v>6.3638184560383004E-2</v>
      </c>
      <c r="M99" s="132">
        <f>IF(A99&lt;$E$6,"",calcfit(Jo_1,Jo_2,Rshunt,Jsc,D99))</f>
        <v>5.8411937732080123E-2</v>
      </c>
      <c r="N99" s="100">
        <f t="shared" si="44"/>
        <v>8.0052814753465065E-3</v>
      </c>
      <c r="O99" s="100">
        <f t="shared" si="56"/>
        <v>2.3676276992012336E-6</v>
      </c>
      <c r="P99" s="103" t="str">
        <f t="shared" si="45"/>
        <v/>
      </c>
      <c r="Q99" s="103" t="str">
        <f t="shared" si="46"/>
        <v/>
      </c>
      <c r="R99" s="103">
        <f t="shared" si="47"/>
        <v>0.49102250859999996</v>
      </c>
      <c r="S99" s="103" t="str">
        <f t="shared" si="48"/>
        <v/>
      </c>
      <c r="T99" s="103">
        <f t="shared" si="49"/>
        <v>-1.1962822181934925</v>
      </c>
      <c r="U99" s="97">
        <f t="shared" si="50"/>
        <v>3.6614556069135343E-2</v>
      </c>
      <c r="V99" s="103" t="str">
        <f t="shared" si="51"/>
        <v/>
      </c>
      <c r="W99" s="103" t="str">
        <f t="shared" si="52"/>
        <v/>
      </c>
      <c r="X99" s="132">
        <f t="shared" si="53"/>
        <v>1.7978571172342191E-2</v>
      </c>
    </row>
    <row r="100" spans="1:24">
      <c r="A100" s="131">
        <v>9.5160000000000002E-3</v>
      </c>
      <c r="B100" s="131">
        <v>0.48977900000000002</v>
      </c>
      <c r="C100" s="131">
        <v>6.4400000000000004E-3</v>
      </c>
      <c r="D100" s="132">
        <f t="shared" si="38"/>
        <v>0.4863655086</v>
      </c>
      <c r="E100" s="132">
        <f t="shared" si="54"/>
        <v>-44.778846153845876</v>
      </c>
      <c r="F100" s="100">
        <f t="shared" si="39"/>
        <v>1704351908860</v>
      </c>
      <c r="G100" s="100">
        <f>IF(WaferType="p-type",n_intr_boltzmann(0,SampleDoping,F100,298.15),n_intr_boltzmann(SampleDoping,0,F100,298.15))</f>
        <v>8873933410.7053719</v>
      </c>
      <c r="H100" s="100">
        <f t="shared" si="40"/>
        <v>1704351908860</v>
      </c>
      <c r="I100" s="100">
        <f t="shared" si="55"/>
        <v>-2969760911634019</v>
      </c>
      <c r="J100" s="132">
        <f t="shared" si="41"/>
        <v>6.010905489354483E-2</v>
      </c>
      <c r="K100" s="132">
        <f t="shared" si="42"/>
        <v>6.0328080185423641E-2</v>
      </c>
      <c r="L100" s="132">
        <f t="shared" si="43"/>
        <v>6.0328080185423641E-2</v>
      </c>
      <c r="M100" s="132">
        <f>IF(A100&lt;$E$6,"",calcfit(Jo_1,Jo_2,Rshunt,Jsc,D100))</f>
        <v>5.4951484674296676E-2</v>
      </c>
      <c r="N100" s="100">
        <f t="shared" si="44"/>
        <v>9.5731721552749609E-3</v>
      </c>
      <c r="O100" s="100">
        <f t="shared" si="56"/>
        <v>2.0835913575814904E-6</v>
      </c>
      <c r="P100" s="103" t="str">
        <f t="shared" si="45"/>
        <v/>
      </c>
      <c r="Q100" s="103" t="str">
        <f t="shared" si="46"/>
        <v/>
      </c>
      <c r="R100" s="103">
        <f t="shared" si="47"/>
        <v>0.4863655086</v>
      </c>
      <c r="S100" s="103" t="str">
        <f t="shared" si="48"/>
        <v/>
      </c>
      <c r="T100" s="103">
        <f t="shared" si="49"/>
        <v>-1.2194804949743807</v>
      </c>
      <c r="U100" s="97">
        <f t="shared" si="50"/>
        <v>3.6743991080509374E-2</v>
      </c>
      <c r="V100" s="103" t="str">
        <f t="shared" si="51"/>
        <v/>
      </c>
      <c r="W100" s="103" t="str">
        <f t="shared" si="52"/>
        <v/>
      </c>
      <c r="X100" s="132">
        <f t="shared" si="53"/>
        <v>1.7871009909865804E-2</v>
      </c>
    </row>
    <row r="101" spans="1:24">
      <c r="A101" s="131">
        <v>9.6200000000000001E-3</v>
      </c>
      <c r="B101" s="131">
        <v>0.48504599999999998</v>
      </c>
      <c r="C101" s="131">
        <v>6.1279999999999998E-3</v>
      </c>
      <c r="D101" s="132">
        <f t="shared" si="38"/>
        <v>0.48163250859999995</v>
      </c>
      <c r="E101" s="132">
        <f t="shared" si="54"/>
        <v>-45.509615384615842</v>
      </c>
      <c r="F101" s="100">
        <f t="shared" si="39"/>
        <v>1417660842568.5</v>
      </c>
      <c r="G101" s="100">
        <f>IF(WaferType="p-type",n_intr_boltzmann(0,SampleDoping,F101,298.15),n_intr_boltzmann(SampleDoping,0,F101,298.15))</f>
        <v>8873926154.4351196</v>
      </c>
      <c r="H101" s="100">
        <f t="shared" si="40"/>
        <v>1417660842568.5</v>
      </c>
      <c r="I101" s="100">
        <f t="shared" si="55"/>
        <v>-2510626232878978.5</v>
      </c>
      <c r="J101" s="132">
        <f t="shared" si="41"/>
        <v>5.7196939190627745E-2</v>
      </c>
      <c r="K101" s="132">
        <f t="shared" si="42"/>
        <v>5.7382102461280518E-2</v>
      </c>
      <c r="L101" s="132">
        <f t="shared" si="43"/>
        <v>5.7382102461280518E-2</v>
      </c>
      <c r="M101" s="132">
        <f>IF(A101&lt;$E$6,"",calcfit(Jo_1,Jo_2,Rshunt,Jsc,D101))</f>
        <v>5.174528605713203E-2</v>
      </c>
      <c r="N101" s="100">
        <f t="shared" si="44"/>
        <v>1.1866597042095875E-2</v>
      </c>
      <c r="O101" s="100">
        <f t="shared" si="56"/>
        <v>1.8220851483737313E-6</v>
      </c>
      <c r="P101" s="103" t="str">
        <f t="shared" si="45"/>
        <v/>
      </c>
      <c r="Q101" s="103" t="str">
        <f t="shared" si="46"/>
        <v/>
      </c>
      <c r="R101" s="103" t="str">
        <f t="shared" si="47"/>
        <v/>
      </c>
      <c r="S101" s="103" t="str">
        <f t="shared" si="48"/>
        <v/>
      </c>
      <c r="T101" s="103" t="str">
        <f t="shared" si="49"/>
        <v/>
      </c>
      <c r="U101" s="97">
        <f t="shared" si="50"/>
        <v>3.6859187647456548E-2</v>
      </c>
      <c r="V101" s="103" t="str">
        <f t="shared" si="51"/>
        <v/>
      </c>
      <c r="W101" s="103" t="str">
        <f t="shared" si="52"/>
        <v/>
      </c>
      <c r="X101" s="132">
        <f t="shared" si="53"/>
        <v>1.7752583011602627E-2</v>
      </c>
    </row>
    <row r="102" spans="1:24">
      <c r="A102" s="131">
        <v>9.724E-3</v>
      </c>
      <c r="B102" s="131">
        <v>0.48014299999999999</v>
      </c>
      <c r="C102" s="131">
        <v>5.8339999999999998E-3</v>
      </c>
      <c r="D102" s="132">
        <f t="shared" si="38"/>
        <v>0.47672950859999996</v>
      </c>
      <c r="E102" s="132">
        <f t="shared" si="54"/>
        <v>-47.14423076923071</v>
      </c>
      <c r="F102" s="100">
        <f t="shared" si="39"/>
        <v>1171411255636</v>
      </c>
      <c r="G102" s="100">
        <f>IF(WaferType="p-type",n_intr_boltzmann(0,SampleDoping,F102,298.15),n_intr_boltzmann(SampleDoping,0,F102,298.15))</f>
        <v>8873919915.8264523</v>
      </c>
      <c r="H102" s="100">
        <f t="shared" si="40"/>
        <v>1171411255636</v>
      </c>
      <c r="I102" s="100">
        <f t="shared" si="55"/>
        <v>-2149113275119783.5</v>
      </c>
      <c r="J102" s="132">
        <f t="shared" si="41"/>
        <v>5.4452830162878961E-2</v>
      </c>
      <c r="K102" s="132">
        <f t="shared" si="42"/>
        <v>5.4611331192547623E-2</v>
      </c>
      <c r="L102" s="132">
        <f t="shared" si="43"/>
        <v>5.4611331192547623E-2</v>
      </c>
      <c r="M102" s="132">
        <f>IF(A102&lt;$E$6,"",calcfit(Jo_1,Jo_2,Rshunt,Jsc,D102))</f>
        <v>4.8720953635418202E-2</v>
      </c>
      <c r="N102" s="100">
        <f t="shared" si="44"/>
        <v>1.4616880784793354E-2</v>
      </c>
      <c r="O102" s="100">
        <f t="shared" si="56"/>
        <v>1.581974252378314E-6</v>
      </c>
      <c r="P102" s="103" t="str">
        <f t="shared" si="45"/>
        <v/>
      </c>
      <c r="Q102" s="103" t="str">
        <f t="shared" si="46"/>
        <v/>
      </c>
      <c r="R102" s="103" t="str">
        <f t="shared" si="47"/>
        <v/>
      </c>
      <c r="S102" s="103" t="str">
        <f t="shared" si="48"/>
        <v/>
      </c>
      <c r="T102" s="103" t="str">
        <f t="shared" si="49"/>
        <v/>
      </c>
      <c r="U102" s="97">
        <f t="shared" si="50"/>
        <v>3.6967533116377814E-2</v>
      </c>
      <c r="V102" s="103" t="str">
        <f t="shared" si="51"/>
        <v/>
      </c>
      <c r="W102" s="103" t="str">
        <f t="shared" si="52"/>
        <v/>
      </c>
      <c r="X102" s="132">
        <f t="shared" si="53"/>
        <v>1.7623513896725021E-2</v>
      </c>
    </row>
    <row r="103" spans="1:24">
      <c r="A103" s="131">
        <v>9.8279999999999999E-3</v>
      </c>
      <c r="B103" s="131">
        <v>0.47514299999999998</v>
      </c>
      <c r="C103" s="131">
        <v>5.5269999999999998E-3</v>
      </c>
      <c r="D103" s="132">
        <f t="shared" si="38"/>
        <v>0.47172950859999996</v>
      </c>
      <c r="E103" s="132">
        <f t="shared" si="54"/>
        <v>-48.076923076923158</v>
      </c>
      <c r="F103" s="100">
        <f t="shared" si="39"/>
        <v>964282868622</v>
      </c>
      <c r="G103" s="100">
        <f>IF(WaferType="p-type",n_intr_boltzmann(0,SampleDoping,F103,298.15),n_intr_boltzmann(SampleDoping,0,F103,298.15))</f>
        <v>8873914662.4355278</v>
      </c>
      <c r="H103" s="100">
        <f t="shared" si="40"/>
        <v>964282868622</v>
      </c>
      <c r="I103" s="100">
        <f t="shared" si="55"/>
        <v>-1804159510759416</v>
      </c>
      <c r="J103" s="132">
        <f t="shared" si="41"/>
        <v>5.1587382980841964E-2</v>
      </c>
      <c r="K103" s="132">
        <f t="shared" si="42"/>
        <v>5.1720443040287147E-2</v>
      </c>
      <c r="L103" s="132">
        <f t="shared" si="43"/>
        <v>5.1720443040287147E-2</v>
      </c>
      <c r="M103" s="132">
        <f>IF(A103&lt;$E$6,"",calcfit(Jo_1,Jo_2,Rshunt,Jsc,D103))</f>
        <v>4.5916296120023223E-2</v>
      </c>
      <c r="N103" s="100">
        <f t="shared" si="44"/>
        <v>1.5978760904346558E-2</v>
      </c>
      <c r="O103" s="100">
        <f t="shared" si="56"/>
        <v>1.3750389355850749E-6</v>
      </c>
      <c r="P103" s="103" t="str">
        <f t="shared" si="45"/>
        <v/>
      </c>
      <c r="Q103" s="103" t="str">
        <f t="shared" si="46"/>
        <v/>
      </c>
      <c r="R103" s="103" t="str">
        <f t="shared" si="47"/>
        <v/>
      </c>
      <c r="S103" s="103" t="str">
        <f t="shared" si="48"/>
        <v/>
      </c>
      <c r="T103" s="103" t="str">
        <f t="shared" si="49"/>
        <v/>
      </c>
      <c r="U103" s="97">
        <f t="shared" si="50"/>
        <v>3.7080575515795654E-2</v>
      </c>
      <c r="V103" s="103" t="str">
        <f t="shared" si="51"/>
        <v/>
      </c>
      <c r="W103" s="103" t="str">
        <f t="shared" si="52"/>
        <v/>
      </c>
      <c r="X103" s="132">
        <f t="shared" si="53"/>
        <v>1.7492001666671475E-2</v>
      </c>
    </row>
    <row r="104" spans="1:24">
      <c r="A104" s="131">
        <v>9.9319999999999999E-3</v>
      </c>
      <c r="B104" s="131">
        <v>0.47001199999999999</v>
      </c>
      <c r="C104" s="131">
        <v>5.28E-3</v>
      </c>
      <c r="D104" s="132">
        <f t="shared" si="38"/>
        <v>0.46659850859999996</v>
      </c>
      <c r="E104" s="132">
        <f t="shared" si="54"/>
        <v>-49.336538461538467</v>
      </c>
      <c r="F104" s="100">
        <f t="shared" si="39"/>
        <v>789738288225</v>
      </c>
      <c r="G104" s="100">
        <f>IF(WaferType="p-type",n_intr_boltzmann(0,SampleDoping,F104,298.15),n_intr_boltzmann(SampleDoping,0,F104,298.15))</f>
        <v>8873910229.6197472</v>
      </c>
      <c r="H104" s="100">
        <f t="shared" si="40"/>
        <v>789738288225</v>
      </c>
      <c r="I104" s="100">
        <f t="shared" si="55"/>
        <v>-1516338571427203</v>
      </c>
      <c r="J104" s="132">
        <f t="shared" si="41"/>
        <v>4.9281958049365943E-2</v>
      </c>
      <c r="K104" s="132">
        <f t="shared" si="42"/>
        <v>4.9393790788793843E-2</v>
      </c>
      <c r="L104" s="132">
        <f t="shared" si="43"/>
        <v>4.9393790788793843E-2</v>
      </c>
      <c r="M104" s="132">
        <f>IF(A104&lt;$E$6,"",calcfit(Jo_1,Jo_2,Rshunt,Jsc,D104))</f>
        <v>4.3301131635735464E-2</v>
      </c>
      <c r="N104" s="100">
        <f t="shared" si="44"/>
        <v>1.9797724325078037E-2</v>
      </c>
      <c r="O104" s="100">
        <f t="shared" si="56"/>
        <v>1.1791895374666685E-6</v>
      </c>
      <c r="P104" s="103" t="str">
        <f t="shared" si="45"/>
        <v/>
      </c>
      <c r="Q104" s="103" t="str">
        <f t="shared" si="46"/>
        <v/>
      </c>
      <c r="R104" s="103" t="str">
        <f t="shared" si="47"/>
        <v/>
      </c>
      <c r="S104" s="103" t="str">
        <f t="shared" si="48"/>
        <v/>
      </c>
      <c r="T104" s="103" t="str">
        <f t="shared" si="49"/>
        <v/>
      </c>
      <c r="U104" s="97">
        <f t="shared" si="50"/>
        <v>3.7171554598785794E-2</v>
      </c>
      <c r="V104" s="103" t="str">
        <f t="shared" si="51"/>
        <v/>
      </c>
      <c r="W104" s="103" t="str">
        <f t="shared" si="52"/>
        <v/>
      </c>
      <c r="X104" s="132">
        <f t="shared" si="53"/>
        <v>1.7344191938136921E-2</v>
      </c>
    </row>
    <row r="105" spans="1:24">
      <c r="A105" s="131">
        <v>1.0036E-2</v>
      </c>
      <c r="B105" s="131">
        <v>0.46475300000000003</v>
      </c>
      <c r="C105" s="131">
        <v>5.0150000000000004E-3</v>
      </c>
      <c r="D105" s="132">
        <f t="shared" ref="D105:D133" si="57">B105/NumCells+(Temp-25)*NumCells*TempCo</f>
        <v>0.4613395086</v>
      </c>
      <c r="E105" s="132">
        <f t="shared" si="54"/>
        <v>-50.567307692307331</v>
      </c>
      <c r="F105" s="100">
        <f t="shared" ref="F105:F133" si="58">calccarrierdensity(SampleDoping,D105,ni_SproulGreen)</f>
        <v>643571175674.5</v>
      </c>
      <c r="G105" s="100">
        <f>IF(WaferType="p-type",n_intr_boltzmann(0,SampleDoping,F105,298.15),n_intr_boltzmann(SampleDoping,0,F105,298.15))</f>
        <v>8873906511.7131691</v>
      </c>
      <c r="H105" s="100">
        <f t="shared" ref="H105:H133" si="59">IF(BandGapSetting="OFF",F105,calccarrierdensity(SampleDoping,D105,G105))</f>
        <v>643571175674.5</v>
      </c>
      <c r="I105" s="100">
        <f t="shared" si="55"/>
        <v>-1266541778546522.5</v>
      </c>
      <c r="J105" s="132">
        <f t="shared" ref="J105:J133" si="60">IF(C105&gt;0,C105/RefCellCal,0.0001)</f>
        <v>4.6808526442721633E-2</v>
      </c>
      <c r="K105" s="132">
        <f t="shared" ref="K105:K133" si="61">IF(Mode="Generalized",J105-q*Wafer_Thickness*I105/Jsc,J105)</f>
        <v>4.6901936212388994E-2</v>
      </c>
      <c r="L105" s="132">
        <f t="shared" ref="L105:L133" si="62">IF(K105&lt;0.001, 0.001, K105)</f>
        <v>4.6901936212388994E-2</v>
      </c>
      <c r="M105" s="132">
        <f>IF(A105&lt;$E$6,"",calcfit(Jo_1,Jo_2,Rshunt,Jsc,D105))</f>
        <v>4.0868074594511097E-2</v>
      </c>
      <c r="N105" s="100">
        <f t="shared" ref="N105:N133" si="63">IF(M105="","",(((M105)-L105)*((M105)-L105)/M105/M105))</f>
        <v>2.1798285512942116E-2</v>
      </c>
      <c r="O105" s="100">
        <f t="shared" si="56"/>
        <v>1.0119955294727346E-6</v>
      </c>
      <c r="P105" s="103" t="str">
        <f t="shared" ref="P105:P133" si="64">IF(A105&lt;TimeofMaxPV,"",IF(L105&gt;0.85,IF(L105&lt;1.1,D105,""),""))</f>
        <v/>
      </c>
      <c r="Q105" s="103" t="str">
        <f t="shared" ref="Q105:Q133" si="65">IF(A105&lt;TimeofMaxPV,"",IF(L105&gt;0.85,IF(L105&lt;1.15,D105,""),""))</f>
        <v/>
      </c>
      <c r="R105" s="103" t="str">
        <f t="shared" ref="R105:R133" si="66">IF(A105&lt;TimeofMaxPV,"",IF(L105&gt;0.06,IF(L105&lt;0.14,D105,""),""))</f>
        <v/>
      </c>
      <c r="S105" s="103" t="str">
        <f t="shared" ref="S105:S131" si="67">IF(Q105="","",LOG10($L105))</f>
        <v/>
      </c>
      <c r="T105" s="103" t="str">
        <f t="shared" ref="T105:T131" si="68">IF(R105="","",LOG10($L105))</f>
        <v/>
      </c>
      <c r="U105" s="97">
        <f t="shared" ref="U105:U133" si="69">Jsc*(1-L105)</f>
        <v>3.7268993588286954E-2</v>
      </c>
      <c r="V105" s="103" t="str">
        <f t="shared" ref="V105:V133" si="70">IF(P105="","",U105)</f>
        <v/>
      </c>
      <c r="W105" s="103" t="str">
        <f t="shared" ref="W105:W133" si="71">IF(A105&lt;TimeofMaxPV,"",IF(U105&gt;0.96*Jsc,IF(U105&lt;0.98*Jsc,D105,""),""))</f>
        <v/>
      </c>
      <c r="X105" s="132">
        <f t="shared" ref="X105:X133" si="72">D105*U105</f>
        <v>1.7193659188036853E-2</v>
      </c>
    </row>
    <row r="106" spans="1:24">
      <c r="A106" s="131">
        <v>1.014E-2</v>
      </c>
      <c r="B106" s="131">
        <v>0.45949600000000002</v>
      </c>
      <c r="C106" s="131">
        <v>4.7520000000000001E-3</v>
      </c>
      <c r="D106" s="132">
        <f t="shared" si="57"/>
        <v>0.45608250859999999</v>
      </c>
      <c r="E106" s="132">
        <f t="shared" ref="E106:E133" si="73">SLOPE(D105:D106,A105:A106)</f>
        <v>-50.548076923077069</v>
      </c>
      <c r="F106" s="100">
        <f t="shared" si="58"/>
        <v>524495966337.5</v>
      </c>
      <c r="G106" s="100">
        <f>IF(WaferType="p-type",n_intr_boltzmann(0,SampleDoping,F106,298.15),n_intr_boltzmann(SampleDoping,0,F106,298.15))</f>
        <v>8873903477.42803</v>
      </c>
      <c r="H106" s="100">
        <f t="shared" si="59"/>
        <v>524495966337.5</v>
      </c>
      <c r="I106" s="100">
        <f t="shared" ref="I106:I133" si="74">calcdndt(D106,SampleDoping,ni_SproulGreen,G106,E106,BandGapSetting)</f>
        <v>-1031827400009744.9</v>
      </c>
      <c r="J106" s="132">
        <f t="shared" si="60"/>
        <v>4.435376224442935E-2</v>
      </c>
      <c r="K106" s="132">
        <f t="shared" si="61"/>
        <v>4.4429861399943975E-2</v>
      </c>
      <c r="L106" s="132">
        <f t="shared" si="62"/>
        <v>4.4429861399943975E-2</v>
      </c>
      <c r="M106" s="132">
        <f>IF(A106&lt;$E$6,"",calcfit(Jo_1,Jo_2,Rshunt,Jsc,D106))</f>
        <v>3.8659667305114997E-2</v>
      </c>
      <c r="N106" s="100">
        <f t="shared" si="63"/>
        <v>2.2277405977123986E-2</v>
      </c>
      <c r="O106" s="100">
        <f t="shared" ref="O106:O133" si="75">H106/((Jsc*L106)/(q*Wafer_Thickness))</f>
        <v>8.7064272444460468E-7</v>
      </c>
      <c r="P106" s="103" t="str">
        <f t="shared" si="64"/>
        <v/>
      </c>
      <c r="Q106" s="103" t="str">
        <f t="shared" si="65"/>
        <v/>
      </c>
      <c r="R106" s="103" t="str">
        <f t="shared" si="66"/>
        <v/>
      </c>
      <c r="S106" s="103" t="str">
        <f t="shared" si="67"/>
        <v/>
      </c>
      <c r="T106" s="103" t="str">
        <f t="shared" si="68"/>
        <v/>
      </c>
      <c r="U106" s="97">
        <f t="shared" si="69"/>
        <v>3.7365659129677986E-2</v>
      </c>
      <c r="V106" s="103" t="str">
        <f t="shared" si="70"/>
        <v/>
      </c>
      <c r="W106" s="103" t="str">
        <f t="shared" si="71"/>
        <v/>
      </c>
      <c r="X106" s="132">
        <f t="shared" si="72"/>
        <v>1.7041823551356028E-2</v>
      </c>
    </row>
    <row r="107" spans="1:24">
      <c r="A107" s="131">
        <v>1.0244E-2</v>
      </c>
      <c r="B107" s="131">
        <v>0.45415100000000003</v>
      </c>
      <c r="C107" s="131">
        <v>4.4970000000000001E-3</v>
      </c>
      <c r="D107" s="132">
        <f t="shared" si="57"/>
        <v>0.4507375086</v>
      </c>
      <c r="E107" s="132">
        <f t="shared" si="73"/>
        <v>-51.394230769230703</v>
      </c>
      <c r="F107" s="100">
        <f t="shared" si="58"/>
        <v>425989580889.5</v>
      </c>
      <c r="G107" s="100">
        <f>IF(WaferType="p-type",n_intr_boltzmann(0,SampleDoping,F107,298.15),n_intr_boltzmann(SampleDoping,0,F107,298.15))</f>
        <v>8873900962.0122471</v>
      </c>
      <c r="H107" s="100">
        <f t="shared" si="59"/>
        <v>425989580889.5</v>
      </c>
      <c r="I107" s="100">
        <f t="shared" si="74"/>
        <v>-852078365114532.25</v>
      </c>
      <c r="J107" s="132">
        <f t="shared" si="60"/>
        <v>4.1973667679545197E-2</v>
      </c>
      <c r="K107" s="132">
        <f t="shared" si="61"/>
        <v>4.2036510015401839E-2</v>
      </c>
      <c r="L107" s="132">
        <f t="shared" si="62"/>
        <v>4.2036510015401839E-2</v>
      </c>
      <c r="M107" s="132">
        <f>IF(A107&lt;$E$6,"",calcfit(Jo_1,Jo_2,Rshunt,Jsc,D107))</f>
        <v>3.6619190219051218E-2</v>
      </c>
      <c r="N107" s="100">
        <f t="shared" si="63"/>
        <v>2.1885248127985878E-2</v>
      </c>
      <c r="O107" s="100">
        <f t="shared" si="75"/>
        <v>7.4738625312157955E-7</v>
      </c>
      <c r="P107" s="103" t="str">
        <f t="shared" si="64"/>
        <v/>
      </c>
      <c r="Q107" s="103" t="str">
        <f t="shared" si="65"/>
        <v/>
      </c>
      <c r="R107" s="103" t="str">
        <f t="shared" si="66"/>
        <v/>
      </c>
      <c r="S107" s="103" t="str">
        <f t="shared" si="67"/>
        <v/>
      </c>
      <c r="T107" s="103" t="str">
        <f t="shared" si="68"/>
        <v/>
      </c>
      <c r="U107" s="97">
        <f t="shared" si="69"/>
        <v>3.7459246348867742E-2</v>
      </c>
      <c r="V107" s="103" t="str">
        <f t="shared" si="70"/>
        <v/>
      </c>
      <c r="W107" s="103" t="str">
        <f t="shared" si="71"/>
        <v/>
      </c>
      <c r="X107" s="132">
        <f t="shared" si="72"/>
        <v>1.6884287373322291E-2</v>
      </c>
    </row>
    <row r="108" spans="1:24">
      <c r="A108" s="131">
        <v>1.0348E-2</v>
      </c>
      <c r="B108" s="131">
        <v>0.44871899999999998</v>
      </c>
      <c r="C108" s="131">
        <v>4.2750000000000002E-3</v>
      </c>
      <c r="D108" s="132">
        <f t="shared" si="57"/>
        <v>0.44530550859999996</v>
      </c>
      <c r="E108" s="132">
        <f t="shared" si="73"/>
        <v>-52.230769230769738</v>
      </c>
      <c r="F108" s="100">
        <f t="shared" si="58"/>
        <v>344813416905.5</v>
      </c>
      <c r="G108" s="100">
        <f>IF(WaferType="p-type",n_intr_boltzmann(0,SampleDoping,F108,298.15),n_intr_boltzmann(SampleDoping,0,F108,298.15))</f>
        <v>8873898884.0510082</v>
      </c>
      <c r="H108" s="100">
        <f t="shared" si="59"/>
        <v>344813416905.5</v>
      </c>
      <c r="I108" s="100">
        <f t="shared" si="74"/>
        <v>-700941304021154.87</v>
      </c>
      <c r="J108" s="132">
        <f t="shared" si="60"/>
        <v>3.9901585352469585E-2</v>
      </c>
      <c r="K108" s="132">
        <f t="shared" si="61"/>
        <v>3.9953281053999534E-2</v>
      </c>
      <c r="L108" s="132">
        <f t="shared" si="62"/>
        <v>3.9953281053999534E-2</v>
      </c>
      <c r="M108" s="132">
        <f>IF(A108&lt;$E$6,"",calcfit(Jo_1,Jo_2,Rshunt,Jsc,D108))</f>
        <v>3.4734559287733849E-2</v>
      </c>
      <c r="N108" s="100">
        <f t="shared" si="63"/>
        <v>2.2573801442211133E-2</v>
      </c>
      <c r="O108" s="100">
        <f t="shared" si="75"/>
        <v>6.365089091918556E-7</v>
      </c>
      <c r="P108" s="103" t="str">
        <f t="shared" si="64"/>
        <v/>
      </c>
      <c r="Q108" s="103" t="str">
        <f t="shared" si="65"/>
        <v/>
      </c>
      <c r="R108" s="103" t="str">
        <f t="shared" si="66"/>
        <v/>
      </c>
      <c r="S108" s="103" t="str">
        <f t="shared" si="67"/>
        <v/>
      </c>
      <c r="T108" s="103" t="str">
        <f t="shared" si="68"/>
        <v/>
      </c>
      <c r="U108" s="97">
        <f t="shared" si="69"/>
        <v>3.7540706850945453E-2</v>
      </c>
      <c r="V108" s="103" t="str">
        <f t="shared" si="70"/>
        <v/>
      </c>
      <c r="W108" s="103">
        <f t="shared" si="71"/>
        <v>0.44530550859999996</v>
      </c>
      <c r="X108" s="132">
        <f t="shared" si="72"/>
        <v>1.6717083557463767E-2</v>
      </c>
    </row>
    <row r="109" spans="1:24">
      <c r="A109" s="131">
        <v>1.0451999999999999E-2</v>
      </c>
      <c r="B109" s="131">
        <v>0.44323200000000001</v>
      </c>
      <c r="C109" s="131">
        <v>4.0740000000000004E-3</v>
      </c>
      <c r="D109" s="132">
        <f t="shared" si="57"/>
        <v>0.43981850859999999</v>
      </c>
      <c r="E109" s="132">
        <f t="shared" si="73"/>
        <v>-52.759615384615081</v>
      </c>
      <c r="F109" s="100">
        <f t="shared" si="58"/>
        <v>278508689205.5</v>
      </c>
      <c r="G109" s="100">
        <f>IF(WaferType="p-type",n_intr_boltzmann(0,SampleDoping,F109,298.15),n_intr_boltzmann(SampleDoping,0,F109,298.15))</f>
        <v>8873897181.9196129</v>
      </c>
      <c r="H109" s="100">
        <f t="shared" si="59"/>
        <v>278508689205.5</v>
      </c>
      <c r="I109" s="100">
        <f t="shared" si="74"/>
        <v>-571893858519766.37</v>
      </c>
      <c r="J109" s="132">
        <f t="shared" si="60"/>
        <v>3.8025510813090316E-2</v>
      </c>
      <c r="K109" s="132">
        <f t="shared" si="61"/>
        <v>3.8067689029792975E-2</v>
      </c>
      <c r="L109" s="132">
        <f t="shared" si="62"/>
        <v>3.8067689029792975E-2</v>
      </c>
      <c r="M109" s="132">
        <f>IF(A109&lt;$E$6,"",calcfit(Jo_1,Jo_2,Rshunt,Jsc,D109))</f>
        <v>3.300352920527589E-2</v>
      </c>
      <c r="N109" s="100">
        <f t="shared" si="63"/>
        <v>2.354474767185295E-2</v>
      </c>
      <c r="O109" s="100">
        <f t="shared" si="75"/>
        <v>5.3957897324297452E-7</v>
      </c>
      <c r="P109" s="103" t="str">
        <f t="shared" si="64"/>
        <v/>
      </c>
      <c r="Q109" s="103" t="str">
        <f t="shared" si="65"/>
        <v/>
      </c>
      <c r="R109" s="103" t="str">
        <f t="shared" si="66"/>
        <v/>
      </c>
      <c r="S109" s="103" t="str">
        <f t="shared" si="67"/>
        <v/>
      </c>
      <c r="T109" s="103" t="str">
        <f t="shared" si="68"/>
        <v/>
      </c>
      <c r="U109" s="97">
        <f t="shared" si="69"/>
        <v>3.7614439155868006E-2</v>
      </c>
      <c r="V109" s="103" t="str">
        <f t="shared" si="70"/>
        <v/>
      </c>
      <c r="W109" s="103">
        <f t="shared" si="71"/>
        <v>0.43981850859999999</v>
      </c>
      <c r="X109" s="132">
        <f t="shared" si="72"/>
        <v>1.654352653135931E-2</v>
      </c>
    </row>
    <row r="110" spans="1:24">
      <c r="A110" s="131">
        <v>1.0555999999999999E-2</v>
      </c>
      <c r="B110" s="131">
        <v>0.43773299999999998</v>
      </c>
      <c r="C110" s="131">
        <v>3.8539999999999998E-3</v>
      </c>
      <c r="D110" s="132">
        <f t="shared" si="57"/>
        <v>0.43431950859999996</v>
      </c>
      <c r="E110" s="132">
        <f t="shared" si="73"/>
        <v>-52.875000000000341</v>
      </c>
      <c r="F110" s="100">
        <f t="shared" si="58"/>
        <v>224848368165</v>
      </c>
      <c r="G110" s="100">
        <f>IF(WaferType="p-type",n_intr_boltzmann(0,SampleDoping,F110,298.15),n_intr_boltzmann(SampleDoping,0,F110,298.15))</f>
        <v>8873895799.8261433</v>
      </c>
      <c r="H110" s="100">
        <f t="shared" si="59"/>
        <v>224848368165</v>
      </c>
      <c r="I110" s="100">
        <f t="shared" si="74"/>
        <v>-462720148789039.87</v>
      </c>
      <c r="J110" s="132">
        <f t="shared" si="60"/>
        <v>3.5972095894366729E-2</v>
      </c>
      <c r="K110" s="132">
        <f t="shared" si="61"/>
        <v>3.6006222350557088E-2</v>
      </c>
      <c r="L110" s="132">
        <f t="shared" si="62"/>
        <v>3.6006222350557088E-2</v>
      </c>
      <c r="M110" s="132">
        <f>IF(A110&lt;$E$6,"",calcfit(Jo_1,Jo_2,Rshunt,Jsc,D110))</f>
        <v>3.1424063818354546E-2</v>
      </c>
      <c r="N110" s="100">
        <f t="shared" si="63"/>
        <v>2.1262558681297193E-2</v>
      </c>
      <c r="O110" s="100">
        <f t="shared" si="75"/>
        <v>4.605586696888735E-7</v>
      </c>
      <c r="P110" s="103" t="str">
        <f t="shared" si="64"/>
        <v/>
      </c>
      <c r="Q110" s="103" t="str">
        <f t="shared" si="65"/>
        <v/>
      </c>
      <c r="R110" s="103" t="str">
        <f t="shared" si="66"/>
        <v/>
      </c>
      <c r="S110" s="103" t="str">
        <f t="shared" si="67"/>
        <v/>
      </c>
      <c r="T110" s="103" t="str">
        <f t="shared" si="68"/>
        <v/>
      </c>
      <c r="U110" s="97">
        <f t="shared" si="69"/>
        <v>3.7695048687426166E-2</v>
      </c>
      <c r="V110" s="103" t="str">
        <f t="shared" si="70"/>
        <v/>
      </c>
      <c r="W110" s="103">
        <f t="shared" si="71"/>
        <v>0.43431950859999996</v>
      </c>
      <c r="X110" s="132">
        <f t="shared" si="72"/>
        <v>1.6371695022576006E-2</v>
      </c>
    </row>
    <row r="111" spans="1:24">
      <c r="A111" s="131">
        <v>1.0659999999999999E-2</v>
      </c>
      <c r="B111" s="131">
        <v>0.43223499999999998</v>
      </c>
      <c r="C111" s="131">
        <v>3.64E-3</v>
      </c>
      <c r="D111" s="132">
        <f t="shared" si="57"/>
        <v>0.42882150859999996</v>
      </c>
      <c r="E111" s="132">
        <f t="shared" si="73"/>
        <v>-52.865384615384677</v>
      </c>
      <c r="F111" s="100">
        <f t="shared" si="58"/>
        <v>181533596499</v>
      </c>
      <c r="G111" s="100">
        <f>IF(WaferType="p-type",n_intr_boltzmann(0,SampleDoping,F111,298.15),n_intr_boltzmann(SampleDoping,0,F111,298.15))</f>
        <v>8873894679.9415302</v>
      </c>
      <c r="H111" s="100">
        <f t="shared" si="59"/>
        <v>181533596499</v>
      </c>
      <c r="I111" s="100">
        <f t="shared" si="74"/>
        <v>-373516081017767.94</v>
      </c>
      <c r="J111" s="132">
        <f t="shared" si="60"/>
        <v>3.3974683200699247E-2</v>
      </c>
      <c r="K111" s="132">
        <f t="shared" si="61"/>
        <v>3.4002230693948907E-2</v>
      </c>
      <c r="L111" s="132">
        <f t="shared" si="62"/>
        <v>3.4002230693948907E-2</v>
      </c>
      <c r="M111" s="132">
        <f>IF(A111&lt;$E$6,"",calcfit(Jo_1,Jo_2,Rshunt,Jsc,D111))</f>
        <v>2.9983636048959705E-2</v>
      </c>
      <c r="N111" s="100">
        <f t="shared" si="63"/>
        <v>1.7963038764250695E-2</v>
      </c>
      <c r="O111" s="100">
        <f t="shared" si="75"/>
        <v>3.9375164695806751E-7</v>
      </c>
      <c r="P111" s="103" t="str">
        <f t="shared" si="64"/>
        <v/>
      </c>
      <c r="Q111" s="103" t="str">
        <f t="shared" si="65"/>
        <v/>
      </c>
      <c r="R111" s="103" t="str">
        <f t="shared" si="66"/>
        <v/>
      </c>
      <c r="S111" s="103" t="str">
        <f t="shared" si="67"/>
        <v/>
      </c>
      <c r="T111" s="103" t="str">
        <f t="shared" si="68"/>
        <v/>
      </c>
      <c r="U111" s="97">
        <f t="shared" si="69"/>
        <v>3.7773410773174511E-2</v>
      </c>
      <c r="V111" s="103" t="str">
        <f t="shared" si="70"/>
        <v/>
      </c>
      <c r="W111" s="103">
        <f t="shared" si="71"/>
        <v>0.42882150859999996</v>
      </c>
      <c r="X111" s="132">
        <f t="shared" si="72"/>
        <v>1.6198050992720186E-2</v>
      </c>
    </row>
    <row r="112" spans="1:24">
      <c r="A112" s="131">
        <v>1.0763999999999999E-2</v>
      </c>
      <c r="B112" s="131">
        <v>0.42666199999999999</v>
      </c>
      <c r="C112" s="131">
        <v>3.4740000000000001E-3</v>
      </c>
      <c r="D112" s="132">
        <f t="shared" si="57"/>
        <v>0.42324850859999996</v>
      </c>
      <c r="E112" s="132">
        <f t="shared" si="73"/>
        <v>-53.586538461538453</v>
      </c>
      <c r="F112" s="100">
        <f t="shared" si="58"/>
        <v>146135606534.5</v>
      </c>
      <c r="G112" s="100">
        <f>IF(WaferType="p-type",n_intr_boltzmann(0,SampleDoping,F112,298.15),n_intr_boltzmann(SampleDoping,0,F112,298.15))</f>
        <v>8873893760.7012691</v>
      </c>
      <c r="H112" s="100">
        <f t="shared" si="59"/>
        <v>146135606534.5</v>
      </c>
      <c r="I112" s="100">
        <f t="shared" si="74"/>
        <v>-304785832654843.19</v>
      </c>
      <c r="J112" s="132">
        <f t="shared" si="60"/>
        <v>3.2425288307480545E-2</v>
      </c>
      <c r="K112" s="132">
        <f t="shared" si="61"/>
        <v>3.2447766819368902E-2</v>
      </c>
      <c r="L112" s="132">
        <f t="shared" si="62"/>
        <v>3.2447766819368902E-2</v>
      </c>
      <c r="M112" s="132">
        <f>IF(A112&lt;$E$6,"",calcfit(Jo_1,Jo_2,Rshunt,Jsc,D112))</f>
        <v>2.864992574696824E-2</v>
      </c>
      <c r="N112" s="100">
        <f t="shared" si="63"/>
        <v>1.7572217593460487E-2</v>
      </c>
      <c r="O112" s="100">
        <f t="shared" si="75"/>
        <v>3.3215746332184937E-7</v>
      </c>
      <c r="P112" s="103" t="str">
        <f t="shared" si="64"/>
        <v/>
      </c>
      <c r="Q112" s="103" t="str">
        <f t="shared" si="65"/>
        <v/>
      </c>
      <c r="R112" s="103" t="str">
        <f t="shared" si="66"/>
        <v/>
      </c>
      <c r="S112" s="103" t="str">
        <f t="shared" si="67"/>
        <v/>
      </c>
      <c r="T112" s="103" t="str">
        <f t="shared" si="68"/>
        <v/>
      </c>
      <c r="U112" s="97">
        <f t="shared" si="69"/>
        <v>3.7834194974062214E-2</v>
      </c>
      <c r="V112" s="103" t="str">
        <f t="shared" si="70"/>
        <v/>
      </c>
      <c r="W112" s="103">
        <f t="shared" si="71"/>
        <v>0.42324850859999996</v>
      </c>
      <c r="X112" s="132">
        <f t="shared" si="72"/>
        <v>1.6013266596853447E-2</v>
      </c>
    </row>
    <row r="113" spans="1:24">
      <c r="A113" s="131">
        <v>1.0867999999999999E-2</v>
      </c>
      <c r="B113" s="131">
        <v>0.42108200000000001</v>
      </c>
      <c r="C113" s="131">
        <v>3.297E-3</v>
      </c>
      <c r="D113" s="132">
        <f t="shared" si="57"/>
        <v>0.41766850859999999</v>
      </c>
      <c r="E113" s="132">
        <f t="shared" si="73"/>
        <v>-53.653846153845947</v>
      </c>
      <c r="F113" s="100">
        <f t="shared" si="58"/>
        <v>117607858849</v>
      </c>
      <c r="G113" s="100">
        <f>IF(WaferType="p-type",n_intr_boltzmann(0,SampleDoping,F113,298.15),n_intr_boltzmann(SampleDoping,0,F113,298.15))</f>
        <v>8873893016.0801792</v>
      </c>
      <c r="H113" s="100">
        <f t="shared" si="59"/>
        <v>117607858849</v>
      </c>
      <c r="I113" s="100">
        <f t="shared" si="74"/>
        <v>-245596370747114.87</v>
      </c>
      <c r="J113" s="132">
        <f t="shared" si="60"/>
        <v>3.0773222668325665E-2</v>
      </c>
      <c r="K113" s="132">
        <f t="shared" si="61"/>
        <v>3.0791335849281256E-2</v>
      </c>
      <c r="L113" s="132">
        <f t="shared" si="62"/>
        <v>3.0791335849281256E-2</v>
      </c>
      <c r="M113" s="132">
        <f>IF(A113&lt;$E$6,"",calcfit(Jo_1,Jo_2,Rshunt,Jsc,D113))</f>
        <v>2.7428305264438162E-2</v>
      </c>
      <c r="N113" s="100">
        <f t="shared" si="63"/>
        <v>1.5033624043969067E-2</v>
      </c>
      <c r="O113" s="100">
        <f t="shared" si="75"/>
        <v>2.8169594389390197E-7</v>
      </c>
      <c r="P113" s="103" t="str">
        <f t="shared" si="64"/>
        <v/>
      </c>
      <c r="Q113" s="103" t="str">
        <f t="shared" si="65"/>
        <v/>
      </c>
      <c r="R113" s="103" t="str">
        <f t="shared" si="66"/>
        <v/>
      </c>
      <c r="S113" s="103" t="str">
        <f t="shared" si="67"/>
        <v/>
      </c>
      <c r="T113" s="103" t="str">
        <f t="shared" si="68"/>
        <v/>
      </c>
      <c r="U113" s="97">
        <f t="shared" si="69"/>
        <v>3.7898966394285555E-2</v>
      </c>
      <c r="V113" s="103" t="str">
        <f t="shared" si="70"/>
        <v/>
      </c>
      <c r="W113" s="103">
        <f t="shared" si="71"/>
        <v>0.41766850859999999</v>
      </c>
      <c r="X113" s="132">
        <f t="shared" si="72"/>
        <v>1.5829204771382766E-2</v>
      </c>
    </row>
    <row r="114" spans="1:24">
      <c r="A114" s="131">
        <v>1.0972000000000001E-2</v>
      </c>
      <c r="B114" s="131">
        <v>0.41551300000000002</v>
      </c>
      <c r="C114" s="131">
        <v>3.1280000000000001E-3</v>
      </c>
      <c r="D114" s="132">
        <f t="shared" si="57"/>
        <v>0.4120995086</v>
      </c>
      <c r="E114" s="132">
        <f t="shared" si="73"/>
        <v>-53.548076923075989</v>
      </c>
      <c r="F114" s="100">
        <f t="shared" si="58"/>
        <v>94689591084.5</v>
      </c>
      <c r="G114" s="100">
        <f>IF(WaferType="p-type",n_intr_boltzmann(0,SampleDoping,F114,298.15),n_intr_boltzmann(SampleDoping,0,F114,298.15))</f>
        <v>8873892414.3547287</v>
      </c>
      <c r="H114" s="100">
        <f t="shared" si="59"/>
        <v>94689591084.5</v>
      </c>
      <c r="I114" s="100">
        <f t="shared" si="74"/>
        <v>-197347777692391.16</v>
      </c>
      <c r="J114" s="132">
        <f t="shared" si="60"/>
        <v>2.9195826662578916E-2</v>
      </c>
      <c r="K114" s="132">
        <f t="shared" si="61"/>
        <v>2.921038142166453E-2</v>
      </c>
      <c r="L114" s="132">
        <f t="shared" si="62"/>
        <v>2.921038142166453E-2</v>
      </c>
      <c r="M114" s="132">
        <f>IF(A114&lt;$E$6,"",calcfit(Jo_1,Jo_2,Rshunt,Jsc,D114))</f>
        <v>2.631040154609543E-2</v>
      </c>
      <c r="N114" s="100">
        <f t="shared" si="63"/>
        <v>1.2148845684847564E-2</v>
      </c>
      <c r="O114" s="100">
        <f t="shared" si="75"/>
        <v>2.3907699814822612E-7</v>
      </c>
      <c r="P114" s="103" t="str">
        <f t="shared" si="64"/>
        <v/>
      </c>
      <c r="Q114" s="103" t="str">
        <f t="shared" si="65"/>
        <v/>
      </c>
      <c r="R114" s="103" t="str">
        <f t="shared" si="66"/>
        <v/>
      </c>
      <c r="S114" s="103" t="str">
        <f t="shared" si="67"/>
        <v/>
      </c>
      <c r="T114" s="103" t="str">
        <f t="shared" si="68"/>
        <v/>
      </c>
      <c r="U114" s="97">
        <f t="shared" si="69"/>
        <v>3.7960786455268652E-2</v>
      </c>
      <c r="V114" s="103" t="str">
        <f t="shared" si="70"/>
        <v/>
      </c>
      <c r="W114" s="103">
        <f t="shared" si="71"/>
        <v>0.4120995086</v>
      </c>
      <c r="X114" s="132">
        <f t="shared" si="72"/>
        <v>1.5643621444285747E-2</v>
      </c>
    </row>
    <row r="115" spans="1:24">
      <c r="A115" s="131">
        <v>1.1076000000000001E-2</v>
      </c>
      <c r="B115" s="131">
        <v>0.41</v>
      </c>
      <c r="C115" s="131">
        <v>2.9580000000000001E-3</v>
      </c>
      <c r="D115" s="132">
        <f t="shared" si="57"/>
        <v>0.40658650859999995</v>
      </c>
      <c r="E115" s="132">
        <f t="shared" si="73"/>
        <v>-53.009615384615856</v>
      </c>
      <c r="F115" s="100">
        <f t="shared" si="58"/>
        <v>76403711317.5</v>
      </c>
      <c r="G115" s="100">
        <f>IF(WaferType="p-type",n_intr_boltzmann(0,SampleDoping,F115,298.15),n_intr_boltzmann(SampleDoping,0,F115,298.15))</f>
        <v>8873891931.026823</v>
      </c>
      <c r="H115" s="100">
        <f t="shared" si="59"/>
        <v>76403711317.5</v>
      </c>
      <c r="I115" s="100">
        <f t="shared" si="74"/>
        <v>-157636334898578.59</v>
      </c>
      <c r="J115" s="132">
        <f t="shared" si="60"/>
        <v>2.7609096952656148E-2</v>
      </c>
      <c r="K115" s="132">
        <f t="shared" si="61"/>
        <v>2.762072292029772E-2</v>
      </c>
      <c r="L115" s="132">
        <f t="shared" si="62"/>
        <v>2.762072292029772E-2</v>
      </c>
      <c r="M115" s="132">
        <f>IF(A115&lt;$E$6,"",calcfit(Jo_1,Jo_2,Rshunt,Jsc,D115))</f>
        <v>2.5292798560818518E-2</v>
      </c>
      <c r="N115" s="100">
        <f t="shared" si="63"/>
        <v>8.4711809615464154E-3</v>
      </c>
      <c r="O115" s="100">
        <f t="shared" si="75"/>
        <v>2.0401034712293166E-7</v>
      </c>
      <c r="P115" s="103" t="str">
        <f t="shared" si="64"/>
        <v/>
      </c>
      <c r="Q115" s="103" t="str">
        <f t="shared" si="65"/>
        <v/>
      </c>
      <c r="R115" s="103" t="str">
        <f t="shared" si="66"/>
        <v/>
      </c>
      <c r="S115" s="103" t="str">
        <f t="shared" si="67"/>
        <v/>
      </c>
      <c r="T115" s="103" t="str">
        <f t="shared" si="68"/>
        <v/>
      </c>
      <c r="U115" s="97">
        <f t="shared" si="69"/>
        <v>3.8022946871647596E-2</v>
      </c>
      <c r="V115" s="103" t="str">
        <f t="shared" si="70"/>
        <v/>
      </c>
      <c r="W115" s="103">
        <f t="shared" si="71"/>
        <v>0.40658650859999995</v>
      </c>
      <c r="X115" s="132">
        <f t="shared" si="72"/>
        <v>1.5459617215226486E-2</v>
      </c>
    </row>
    <row r="116" spans="1:24">
      <c r="A116" s="131">
        <v>1.1180000000000001E-2</v>
      </c>
      <c r="B116" s="131">
        <v>0.40449200000000002</v>
      </c>
      <c r="C116" s="131">
        <v>2.7920000000000002E-3</v>
      </c>
      <c r="D116" s="132">
        <f t="shared" si="57"/>
        <v>0.40107850859999999</v>
      </c>
      <c r="E116" s="132">
        <f t="shared" si="73"/>
        <v>-52.961538461538083</v>
      </c>
      <c r="F116" s="100">
        <f t="shared" si="58"/>
        <v>61661058132</v>
      </c>
      <c r="G116" s="100">
        <f>IF(WaferType="p-type",n_intr_boltzmann(0,SampleDoping,F116,298.15),n_intr_boltzmann(SampleDoping,0,F116,298.15))</f>
        <v>8873891538.3663616</v>
      </c>
      <c r="H116" s="100">
        <f t="shared" si="59"/>
        <v>61661058132</v>
      </c>
      <c r="I116" s="100">
        <f t="shared" si="74"/>
        <v>-127104133119917.8</v>
      </c>
      <c r="J116" s="132">
        <f t="shared" si="60"/>
        <v>2.6059702059437449E-2</v>
      </c>
      <c r="K116" s="132">
        <f t="shared" si="61"/>
        <v>2.6069076221426898E-2</v>
      </c>
      <c r="L116" s="132">
        <f t="shared" si="62"/>
        <v>2.6069076221426898E-2</v>
      </c>
      <c r="M116" s="132">
        <f>IF(A116&lt;$E$6,"",calcfit(Jo_1,Jo_2,Rshunt,Jsc,D116))</f>
        <v>2.4355248080024559E-2</v>
      </c>
      <c r="N116" s="100">
        <f t="shared" si="63"/>
        <v>4.9516441242554434E-3</v>
      </c>
      <c r="O116" s="100">
        <f t="shared" si="75"/>
        <v>1.744448338087941E-7</v>
      </c>
      <c r="P116" s="103" t="str">
        <f t="shared" si="64"/>
        <v/>
      </c>
      <c r="Q116" s="103" t="str">
        <f t="shared" si="65"/>
        <v/>
      </c>
      <c r="R116" s="103" t="str">
        <f t="shared" si="66"/>
        <v/>
      </c>
      <c r="S116" s="103" t="str">
        <f t="shared" si="67"/>
        <v/>
      </c>
      <c r="T116" s="103" t="str">
        <f t="shared" si="68"/>
        <v/>
      </c>
      <c r="U116" s="97">
        <f t="shared" si="69"/>
        <v>3.8083620912513542E-2</v>
      </c>
      <c r="V116" s="103" t="str">
        <f t="shared" si="70"/>
        <v/>
      </c>
      <c r="W116" s="103">
        <f t="shared" si="71"/>
        <v>0.40107850859999999</v>
      </c>
      <c r="X116" s="132">
        <f t="shared" si="72"/>
        <v>1.5274521877678703E-2</v>
      </c>
    </row>
    <row r="117" spans="1:24">
      <c r="A117" s="131">
        <v>1.1284000000000001E-2</v>
      </c>
      <c r="B117" s="131">
        <v>0.399003</v>
      </c>
      <c r="C117" s="131">
        <v>2.6450000000000002E-3</v>
      </c>
      <c r="D117" s="132">
        <f t="shared" si="57"/>
        <v>0.39558950859999997</v>
      </c>
      <c r="E117" s="132">
        <f t="shared" si="73"/>
        <v>-52.778846153846402</v>
      </c>
      <c r="F117" s="100">
        <f t="shared" si="58"/>
        <v>49799901536.5</v>
      </c>
      <c r="G117" s="100">
        <f>IF(WaferType="p-type",n_intr_boltzmann(0,SampleDoping,F117,298.15),n_intr_boltzmann(SampleDoping,0,F117,298.15))</f>
        <v>8873891219.6866379</v>
      </c>
      <c r="H117" s="100">
        <f t="shared" si="59"/>
        <v>49799901536.5</v>
      </c>
      <c r="I117" s="100">
        <f t="shared" si="74"/>
        <v>-102300368167616.72</v>
      </c>
      <c r="J117" s="132">
        <f t="shared" si="60"/>
        <v>2.4687647545563057E-2</v>
      </c>
      <c r="K117" s="132">
        <f t="shared" si="61"/>
        <v>2.4695192384580046E-2</v>
      </c>
      <c r="L117" s="132">
        <f t="shared" si="62"/>
        <v>2.4695192384580046E-2</v>
      </c>
      <c r="M117" s="132">
        <f>IF(A117&lt;$E$6,"",calcfit(Jo_1,Jo_2,Rshunt,Jsc,D117))</f>
        <v>2.3491361345213565E-2</v>
      </c>
      <c r="N117" s="100">
        <f t="shared" si="63"/>
        <v>2.6261208229453104E-3</v>
      </c>
      <c r="O117" s="100">
        <f t="shared" si="75"/>
        <v>1.4872666902002372E-7</v>
      </c>
      <c r="P117" s="103" t="str">
        <f t="shared" si="64"/>
        <v/>
      </c>
      <c r="Q117" s="103" t="str">
        <f t="shared" si="65"/>
        <v/>
      </c>
      <c r="R117" s="103" t="str">
        <f t="shared" si="66"/>
        <v/>
      </c>
      <c r="S117" s="103" t="str">
        <f t="shared" si="67"/>
        <v/>
      </c>
      <c r="T117" s="103" t="str">
        <f t="shared" si="68"/>
        <v/>
      </c>
      <c r="U117" s="97">
        <f t="shared" si="69"/>
        <v>3.8137343892185767E-2</v>
      </c>
      <c r="V117" s="103" t="str">
        <f t="shared" si="70"/>
        <v/>
      </c>
      <c r="W117" s="103">
        <f t="shared" si="71"/>
        <v>0.39558950859999997</v>
      </c>
      <c r="X117" s="132">
        <f t="shared" si="72"/>
        <v>1.5086733129618978E-2</v>
      </c>
    </row>
    <row r="118" spans="1:24">
      <c r="A118" s="131">
        <v>1.1388000000000001E-2</v>
      </c>
      <c r="B118" s="131">
        <v>0.39359</v>
      </c>
      <c r="C118" s="131">
        <v>2.4970000000000001E-3</v>
      </c>
      <c r="D118" s="132">
        <f t="shared" si="57"/>
        <v>0.39017650859999997</v>
      </c>
      <c r="E118" s="132">
        <f t="shared" si="73"/>
        <v>-52.04807692307697</v>
      </c>
      <c r="F118" s="100">
        <f t="shared" si="58"/>
        <v>40339500386</v>
      </c>
      <c r="G118" s="100">
        <f>IF(WaferType="p-type",n_intr_boltzmann(0,SampleDoping,F118,298.15),n_intr_boltzmann(SampleDoping,0,F118,298.15))</f>
        <v>8873890962.987463</v>
      </c>
      <c r="H118" s="100">
        <f t="shared" si="59"/>
        <v>40339500386</v>
      </c>
      <c r="I118" s="100">
        <f t="shared" si="74"/>
        <v>-81719291586800.672</v>
      </c>
      <c r="J118" s="132">
        <f t="shared" si="60"/>
        <v>2.3306259327512645E-2</v>
      </c>
      <c r="K118" s="132">
        <f t="shared" si="61"/>
        <v>2.3312286274537845E-2</v>
      </c>
      <c r="L118" s="132">
        <f t="shared" si="62"/>
        <v>2.3312286274537845E-2</v>
      </c>
      <c r="M118" s="132">
        <f>IF(A118&lt;$E$6,"",calcfit(Jo_1,Jo_2,Rshunt,Jsc,D118))</f>
        <v>2.2701129477243127E-2</v>
      </c>
      <c r="N118" s="100">
        <f t="shared" si="63"/>
        <v>7.2478694353979517E-4</v>
      </c>
      <c r="O118" s="100">
        <f t="shared" si="75"/>
        <v>1.2761990838891286E-7</v>
      </c>
      <c r="P118" s="103" t="str">
        <f t="shared" si="64"/>
        <v/>
      </c>
      <c r="Q118" s="103" t="str">
        <f t="shared" si="65"/>
        <v/>
      </c>
      <c r="R118" s="103" t="str">
        <f t="shared" si="66"/>
        <v/>
      </c>
      <c r="S118" s="103" t="str">
        <f t="shared" si="67"/>
        <v/>
      </c>
      <c r="T118" s="103" t="str">
        <f t="shared" si="68"/>
        <v/>
      </c>
      <c r="U118" s="97">
        <f t="shared" si="69"/>
        <v>3.8191419669806742E-2</v>
      </c>
      <c r="V118" s="103" t="str">
        <f t="shared" si="70"/>
        <v/>
      </c>
      <c r="W118" s="103">
        <f t="shared" si="71"/>
        <v>0.39017650859999997</v>
      </c>
      <c r="X118" s="132">
        <f t="shared" si="72"/>
        <v>1.4901394785242559E-2</v>
      </c>
    </row>
    <row r="119" spans="1:24">
      <c r="A119" s="131">
        <v>1.1492E-2</v>
      </c>
      <c r="B119" s="131">
        <v>0.38820900000000003</v>
      </c>
      <c r="C119" s="131">
        <v>2.3730000000000001E-3</v>
      </c>
      <c r="D119" s="132">
        <f t="shared" si="57"/>
        <v>0.3847955086</v>
      </c>
      <c r="E119" s="132">
        <f t="shared" si="73"/>
        <v>-51.740384615384365</v>
      </c>
      <c r="F119" s="100">
        <f t="shared" si="58"/>
        <v>32716990422</v>
      </c>
      <c r="G119" s="100">
        <f>IF(WaferType="p-type",n_intr_boltzmann(0,SampleDoping,F119,298.15),n_intr_boltzmann(SampleDoping,0,F119,298.15))</f>
        <v>8873890753.8422565</v>
      </c>
      <c r="H119" s="100">
        <f t="shared" si="59"/>
        <v>32716990422</v>
      </c>
      <c r="I119" s="100">
        <f t="shared" si="74"/>
        <v>-65885955478335.922</v>
      </c>
      <c r="J119" s="132">
        <f t="shared" si="60"/>
        <v>2.2148880009686626E-2</v>
      </c>
      <c r="K119" s="132">
        <f t="shared" si="61"/>
        <v>2.2153739219252226E-2</v>
      </c>
      <c r="L119" s="132">
        <f t="shared" si="62"/>
        <v>2.2153739219252226E-2</v>
      </c>
      <c r="M119" s="132">
        <f>IF(A119&lt;$E$6,"",calcfit(Jo_1,Jo_2,Rshunt,Jsc,D119))</f>
        <v>2.1970039335774322E-2</v>
      </c>
      <c r="N119" s="100">
        <f t="shared" si="63"/>
        <v>6.9912702888385182E-5</v>
      </c>
      <c r="O119" s="100">
        <f t="shared" si="75"/>
        <v>1.0891785722869526E-7</v>
      </c>
      <c r="P119" s="103" t="str">
        <f t="shared" si="64"/>
        <v/>
      </c>
      <c r="Q119" s="103" t="str">
        <f t="shared" si="65"/>
        <v/>
      </c>
      <c r="R119" s="103" t="str">
        <f t="shared" si="66"/>
        <v/>
      </c>
      <c r="S119" s="103" t="str">
        <f t="shared" si="67"/>
        <v/>
      </c>
      <c r="T119" s="103" t="str">
        <f t="shared" si="68"/>
        <v/>
      </c>
      <c r="U119" s="97">
        <f t="shared" si="69"/>
        <v>3.8236722335309579E-2</v>
      </c>
      <c r="V119" s="103" t="str">
        <f t="shared" si="70"/>
        <v/>
      </c>
      <c r="W119" s="103">
        <f t="shared" si="71"/>
        <v>0.3847955086</v>
      </c>
      <c r="X119" s="132">
        <f t="shared" si="72"/>
        <v>1.4713319018212429E-2</v>
      </c>
    </row>
    <row r="120" spans="1:24">
      <c r="A120" s="131">
        <v>1.1596E-2</v>
      </c>
      <c r="B120" s="131">
        <v>0.38290600000000002</v>
      </c>
      <c r="C120" s="131">
        <v>2.2659999999999998E-3</v>
      </c>
      <c r="D120" s="132">
        <f t="shared" si="57"/>
        <v>0.3794925086</v>
      </c>
      <c r="E120" s="132">
        <f t="shared" si="73"/>
        <v>-50.990384615384677</v>
      </c>
      <c r="F120" s="100">
        <f t="shared" si="58"/>
        <v>26615495669.5</v>
      </c>
      <c r="G120" s="100">
        <f>IF(WaferType="p-type",n_intr_boltzmann(0,SampleDoping,F120,298.15),n_intr_boltzmann(SampleDoping,0,F120,298.15))</f>
        <v>8873890584.3210316</v>
      </c>
      <c r="H120" s="100">
        <f t="shared" si="59"/>
        <v>26615495669.5</v>
      </c>
      <c r="I120" s="100">
        <f t="shared" si="74"/>
        <v>-52821783681657.406</v>
      </c>
      <c r="J120" s="132">
        <f t="shared" si="60"/>
        <v>2.1150173662852882E-2</v>
      </c>
      <c r="K120" s="132">
        <f t="shared" si="61"/>
        <v>2.1154069365885105E-2</v>
      </c>
      <c r="L120" s="132">
        <f t="shared" si="62"/>
        <v>2.1154069365885105E-2</v>
      </c>
      <c r="M120" s="132">
        <f>IF(A120&lt;$E$6,"",calcfit(Jo_1,Jo_2,Rshunt,Jsc,D120))</f>
        <v>2.1297283038629964E-2</v>
      </c>
      <c r="N120" s="100">
        <f t="shared" si="63"/>
        <v>4.5218958947927257E-5</v>
      </c>
      <c r="O120" s="100">
        <f t="shared" si="75"/>
        <v>9.2792615371548867E-8</v>
      </c>
      <c r="P120" s="103" t="str">
        <f t="shared" si="64"/>
        <v/>
      </c>
      <c r="Q120" s="103" t="str">
        <f t="shared" si="65"/>
        <v/>
      </c>
      <c r="R120" s="103" t="str">
        <f t="shared" si="66"/>
        <v/>
      </c>
      <c r="S120" s="103" t="str">
        <f t="shared" si="67"/>
        <v/>
      </c>
      <c r="T120" s="103" t="str">
        <f t="shared" si="68"/>
        <v/>
      </c>
      <c r="U120" s="97">
        <f t="shared" si="69"/>
        <v>3.8275812425585795E-2</v>
      </c>
      <c r="V120" s="103" t="str">
        <f t="shared" si="70"/>
        <v/>
      </c>
      <c r="W120" s="103">
        <f t="shared" si="71"/>
        <v>0.3794925086</v>
      </c>
      <c r="X120" s="132">
        <f t="shared" si="72"/>
        <v>1.4525384076088605E-2</v>
      </c>
    </row>
    <row r="121" spans="1:24">
      <c r="A121" s="131">
        <v>1.17E-2</v>
      </c>
      <c r="B121" s="131">
        <v>0.37764700000000001</v>
      </c>
      <c r="C121" s="131">
        <v>2.137E-3</v>
      </c>
      <c r="D121" s="132">
        <f t="shared" si="57"/>
        <v>0.37423350859999999</v>
      </c>
      <c r="E121" s="132">
        <f t="shared" si="73"/>
        <v>-50.567307692307857</v>
      </c>
      <c r="F121" s="100">
        <f t="shared" si="58"/>
        <v>21688996205</v>
      </c>
      <c r="G121" s="100">
        <f>IF(WaferType="p-type",n_intr_boltzmann(0,SampleDoping,F121,298.15),n_intr_boltzmann(SampleDoping,0,F121,298.15))</f>
        <v>8873890445.5130138</v>
      </c>
      <c r="H121" s="100">
        <f t="shared" si="59"/>
        <v>21688996205</v>
      </c>
      <c r="I121" s="100">
        <f t="shared" si="74"/>
        <v>-42687409136030.828</v>
      </c>
      <c r="J121" s="132">
        <f t="shared" si="60"/>
        <v>1.9946125824146784E-2</v>
      </c>
      <c r="K121" s="132">
        <f t="shared" si="61"/>
        <v>1.9949274098544547E-2</v>
      </c>
      <c r="L121" s="132">
        <f t="shared" si="62"/>
        <v>1.9949274098544547E-2</v>
      </c>
      <c r="M121" s="132">
        <f>IF(A121&lt;$E$6,"",calcfit(Jo_1,Jo_2,Rshunt,Jsc,D121))</f>
        <v>2.0672208447932983E-2</v>
      </c>
      <c r="N121" s="100">
        <f t="shared" si="63"/>
        <v>1.2229929946663248E-3</v>
      </c>
      <c r="O121" s="100">
        <f t="shared" si="75"/>
        <v>8.0183523466850125E-8</v>
      </c>
      <c r="P121" s="103" t="str">
        <f t="shared" si="64"/>
        <v/>
      </c>
      <c r="Q121" s="103" t="str">
        <f t="shared" si="65"/>
        <v/>
      </c>
      <c r="R121" s="103" t="str">
        <f t="shared" si="66"/>
        <v/>
      </c>
      <c r="S121" s="103" t="str">
        <f t="shared" si="67"/>
        <v/>
      </c>
      <c r="T121" s="103" t="str">
        <f t="shared" si="68"/>
        <v/>
      </c>
      <c r="U121" s="97">
        <f t="shared" si="69"/>
        <v>3.8322923534924613E-2</v>
      </c>
      <c r="V121" s="103" t="str">
        <f t="shared" si="70"/>
        <v/>
      </c>
      <c r="W121" s="103" t="str">
        <f t="shared" si="71"/>
        <v/>
      </c>
      <c r="X121" s="132">
        <f t="shared" si="72"/>
        <v>1.4341722134284352E-2</v>
      </c>
    </row>
    <row r="122" spans="1:24">
      <c r="A122" s="131">
        <v>1.1804E-2</v>
      </c>
      <c r="B122" s="131">
        <v>0.37242999999999998</v>
      </c>
      <c r="C122" s="131">
        <v>2.0200000000000001E-3</v>
      </c>
      <c r="D122" s="132">
        <f t="shared" si="57"/>
        <v>0.36901650859999996</v>
      </c>
      <c r="E122" s="132">
        <f t="shared" si="73"/>
        <v>-50.163461538461831</v>
      </c>
      <c r="F122" s="100">
        <f t="shared" si="58"/>
        <v>17703300307.5</v>
      </c>
      <c r="G122" s="100">
        <f>IF(WaferType="p-type",n_intr_boltzmann(0,SampleDoping,F122,298.15),n_intr_boltzmann(SampleDoping,0,F122,298.15))</f>
        <v>8873890331.4355011</v>
      </c>
      <c r="H122" s="100">
        <f t="shared" si="59"/>
        <v>17703300307.5</v>
      </c>
      <c r="I122" s="100">
        <f t="shared" si="74"/>
        <v>-34564675661681.961</v>
      </c>
      <c r="J122" s="132">
        <f t="shared" si="60"/>
        <v>1.885408243555288E-2</v>
      </c>
      <c r="K122" s="132">
        <f t="shared" si="61"/>
        <v>1.8856631643519702E-2</v>
      </c>
      <c r="L122" s="132">
        <f t="shared" si="62"/>
        <v>1.8856631643519702E-2</v>
      </c>
      <c r="M122" s="132">
        <f>IF(A122&lt;$E$6,"",calcfit(Jo_1,Jo_2,Rshunt,Jsc,D122))</f>
        <v>2.008943856943542E-2</v>
      </c>
      <c r="N122" s="100">
        <f t="shared" si="63"/>
        <v>3.7657764173660907E-3</v>
      </c>
      <c r="O122" s="100">
        <f t="shared" si="75"/>
        <v>6.9240931237852244E-8</v>
      </c>
      <c r="P122" s="103" t="str">
        <f t="shared" si="64"/>
        <v/>
      </c>
      <c r="Q122" s="103" t="str">
        <f t="shared" si="65"/>
        <v/>
      </c>
      <c r="R122" s="103" t="str">
        <f t="shared" si="66"/>
        <v/>
      </c>
      <c r="S122" s="103" t="str">
        <f t="shared" si="67"/>
        <v/>
      </c>
      <c r="T122" s="103" t="str">
        <f t="shared" si="68"/>
        <v/>
      </c>
      <c r="U122" s="97">
        <f t="shared" si="69"/>
        <v>3.8365649132843446E-2</v>
      </c>
      <c r="V122" s="103" t="str">
        <f t="shared" si="70"/>
        <v/>
      </c>
      <c r="W122" s="103" t="str">
        <f t="shared" si="71"/>
        <v/>
      </c>
      <c r="X122" s="132">
        <f t="shared" si="72"/>
        <v>1.4157557893174504E-2</v>
      </c>
    </row>
    <row r="123" spans="1:24">
      <c r="A123" s="131">
        <v>1.1908E-2</v>
      </c>
      <c r="B123" s="131">
        <v>0.36732500000000001</v>
      </c>
      <c r="C123" s="131">
        <v>1.9059999999999999E-3</v>
      </c>
      <c r="D123" s="132">
        <f t="shared" si="57"/>
        <v>0.36391150859999999</v>
      </c>
      <c r="E123" s="132">
        <f t="shared" si="73"/>
        <v>-49.086538461538218</v>
      </c>
      <c r="F123" s="100">
        <f t="shared" si="58"/>
        <v>14513165982</v>
      </c>
      <c r="G123" s="100">
        <f>IF(WaferType="p-type",n_intr_boltzmann(0,SampleDoping,F123,298.15),n_intr_boltzmann(SampleDoping,0,F123,298.15))</f>
        <v>8873890238.523634</v>
      </c>
      <c r="H123" s="100">
        <f t="shared" si="59"/>
        <v>14513165982</v>
      </c>
      <c r="I123" s="100">
        <f t="shared" si="74"/>
        <v>-27727806415434.043</v>
      </c>
      <c r="J123" s="132">
        <f t="shared" si="60"/>
        <v>1.7790040159487024E-2</v>
      </c>
      <c r="K123" s="132">
        <f t="shared" si="61"/>
        <v>1.7792085135858525E-2</v>
      </c>
      <c r="L123" s="132">
        <f t="shared" si="62"/>
        <v>1.7792085135858525E-2</v>
      </c>
      <c r="M123" s="132">
        <f>IF(A123&lt;$E$6,"",calcfit(Jo_1,Jo_2,Rshunt,Jsc,D123))</f>
        <v>1.9551633254157513E-2</v>
      </c>
      <c r="N123" s="100">
        <f t="shared" si="63"/>
        <v>8.099089747476142E-3</v>
      </c>
      <c r="O123" s="100">
        <f t="shared" si="75"/>
        <v>6.0160037069389249E-8</v>
      </c>
      <c r="P123" s="103" t="str">
        <f t="shared" si="64"/>
        <v/>
      </c>
      <c r="Q123" s="103" t="str">
        <f t="shared" si="65"/>
        <v/>
      </c>
      <c r="R123" s="103" t="str">
        <f t="shared" si="66"/>
        <v/>
      </c>
      <c r="S123" s="103" t="str">
        <f t="shared" si="67"/>
        <v/>
      </c>
      <c r="T123" s="103" t="str">
        <f t="shared" si="68"/>
        <v/>
      </c>
      <c r="U123" s="97">
        <f t="shared" si="69"/>
        <v>3.8407276094932524E-2</v>
      </c>
      <c r="V123" s="103" t="str">
        <f t="shared" si="70"/>
        <v/>
      </c>
      <c r="W123" s="103" t="str">
        <f t="shared" si="71"/>
        <v/>
      </c>
      <c r="X123" s="132">
        <f t="shared" si="72"/>
        <v>1.3976849784923612E-2</v>
      </c>
    </row>
    <row r="124" spans="1:24">
      <c r="A124" s="131">
        <v>1.2012E-2</v>
      </c>
      <c r="B124" s="131">
        <v>0.36228300000000002</v>
      </c>
      <c r="C124" s="131">
        <v>1.818E-3</v>
      </c>
      <c r="D124" s="132">
        <f t="shared" si="57"/>
        <v>0.3588695086</v>
      </c>
      <c r="E124" s="132">
        <f t="shared" si="73"/>
        <v>-48.480769230769184</v>
      </c>
      <c r="F124" s="100">
        <f t="shared" si="58"/>
        <v>11927103027</v>
      </c>
      <c r="G124" s="100">
        <f>IF(WaferType="p-type",n_intr_boltzmann(0,SampleDoping,F124,298.15),n_intr_boltzmann(SampleDoping,0,F124,298.15))</f>
        <v>8873890161.7450695</v>
      </c>
      <c r="H124" s="100">
        <f t="shared" si="59"/>
        <v>11927103027</v>
      </c>
      <c r="I124" s="100">
        <f t="shared" si="74"/>
        <v>-22505857896277.531</v>
      </c>
      <c r="J124" s="132">
        <f t="shared" si="60"/>
        <v>1.6968674191997591E-2</v>
      </c>
      <c r="K124" s="132">
        <f t="shared" si="61"/>
        <v>1.6970334040127252E-2</v>
      </c>
      <c r="L124" s="132">
        <f t="shared" si="62"/>
        <v>1.6970334040127252E-2</v>
      </c>
      <c r="M124" s="132">
        <f>IF(A124&lt;$E$6,"",calcfit(Jo_1,Jo_2,Rshunt,Jsc,D124))</f>
        <v>1.9048935914392245E-2</v>
      </c>
      <c r="N124" s="100">
        <f t="shared" si="63"/>
        <v>1.1906968032695463E-2</v>
      </c>
      <c r="O124" s="100">
        <f t="shared" si="75"/>
        <v>5.183431466528886E-8</v>
      </c>
      <c r="P124" s="103" t="str">
        <f t="shared" si="64"/>
        <v/>
      </c>
      <c r="Q124" s="103" t="str">
        <f t="shared" si="65"/>
        <v/>
      </c>
      <c r="R124" s="103" t="str">
        <f t="shared" si="66"/>
        <v/>
      </c>
      <c r="S124" s="103" t="str">
        <f t="shared" si="67"/>
        <v/>
      </c>
      <c r="T124" s="103" t="str">
        <f t="shared" si="68"/>
        <v/>
      </c>
      <c r="U124" s="97">
        <f t="shared" si="69"/>
        <v>3.8439409028028899E-2</v>
      </c>
      <c r="V124" s="103" t="str">
        <f t="shared" si="70"/>
        <v/>
      </c>
      <c r="W124" s="103" t="str">
        <f t="shared" si="71"/>
        <v/>
      </c>
      <c r="X124" s="132">
        <f t="shared" si="72"/>
        <v>1.3794731828763134E-2</v>
      </c>
    </row>
    <row r="125" spans="1:24">
      <c r="A125" s="131">
        <v>1.2116E-2</v>
      </c>
      <c r="B125" s="131">
        <v>0.35734300000000002</v>
      </c>
      <c r="C125" s="131">
        <v>1.717E-3</v>
      </c>
      <c r="D125" s="132">
        <f t="shared" si="57"/>
        <v>0.3539295086</v>
      </c>
      <c r="E125" s="132">
        <f t="shared" si="73"/>
        <v>-47.500000000000028</v>
      </c>
      <c r="F125" s="100">
        <f t="shared" si="58"/>
        <v>9840833960</v>
      </c>
      <c r="G125" s="100">
        <f>IF(WaferType="p-type",n_intr_boltzmann(0,SampleDoping,F125,298.15),n_intr_boltzmann(SampleDoping,0,F125,298.15))</f>
        <v>8873890098.4843922</v>
      </c>
      <c r="H125" s="100">
        <f t="shared" si="59"/>
        <v>9840833960</v>
      </c>
      <c r="I125" s="100">
        <f t="shared" si="74"/>
        <v>-18193520268971.293</v>
      </c>
      <c r="J125" s="132">
        <f t="shared" si="60"/>
        <v>1.6025970070219948E-2</v>
      </c>
      <c r="K125" s="132">
        <f t="shared" si="61"/>
        <v>1.6027311875572561E-2</v>
      </c>
      <c r="L125" s="132">
        <f t="shared" si="62"/>
        <v>1.6027311875572561E-2</v>
      </c>
      <c r="M125" s="132">
        <f>IF(A125&lt;$E$6,"",calcfit(Jo_1,Jo_2,Rshunt,Jsc,D125))</f>
        <v>1.8581252636437801E-2</v>
      </c>
      <c r="N125" s="100">
        <f t="shared" si="63"/>
        <v>1.8891727069804659E-2</v>
      </c>
      <c r="O125" s="100">
        <f t="shared" si="75"/>
        <v>4.5283918209035169E-8</v>
      </c>
      <c r="P125" s="103" t="str">
        <f t="shared" si="64"/>
        <v/>
      </c>
      <c r="Q125" s="103" t="str">
        <f t="shared" si="65"/>
        <v/>
      </c>
      <c r="R125" s="103" t="str">
        <f t="shared" si="66"/>
        <v/>
      </c>
      <c r="S125" s="103" t="str">
        <f t="shared" si="67"/>
        <v/>
      </c>
      <c r="T125" s="103" t="str">
        <f t="shared" si="68"/>
        <v/>
      </c>
      <c r="U125" s="97">
        <f t="shared" si="69"/>
        <v>3.8476284023729483E-2</v>
      </c>
      <c r="V125" s="103" t="str">
        <f t="shared" si="70"/>
        <v/>
      </c>
      <c r="W125" s="103" t="str">
        <f t="shared" si="71"/>
        <v/>
      </c>
      <c r="X125" s="132">
        <f t="shared" si="72"/>
        <v>1.3617892297272607E-2</v>
      </c>
    </row>
    <row r="126" spans="1:24">
      <c r="A126" s="131">
        <v>1.222E-2</v>
      </c>
      <c r="B126" s="131">
        <v>0.35244999999999999</v>
      </c>
      <c r="C126" s="131">
        <v>1.6230000000000001E-3</v>
      </c>
      <c r="D126" s="132">
        <f t="shared" si="57"/>
        <v>0.34903650859999996</v>
      </c>
      <c r="E126" s="132">
        <f t="shared" si="73"/>
        <v>-47.048076923077303</v>
      </c>
      <c r="F126" s="100">
        <f t="shared" si="58"/>
        <v>8134357929.5</v>
      </c>
      <c r="G126" s="100">
        <f>IF(WaferType="p-type",n_intr_boltzmann(0,SampleDoping,F126,298.15),n_intr_boltzmann(SampleDoping,0,F126,298.15))</f>
        <v>8873890045.5301151</v>
      </c>
      <c r="H126" s="100">
        <f t="shared" si="59"/>
        <v>8134357929.5</v>
      </c>
      <c r="I126" s="100">
        <f t="shared" si="74"/>
        <v>-14895547907855.156</v>
      </c>
      <c r="J126" s="132">
        <f t="shared" si="60"/>
        <v>1.5148601877674419E-2</v>
      </c>
      <c r="K126" s="132">
        <f t="shared" si="61"/>
        <v>1.5149700451541235E-2</v>
      </c>
      <c r="L126" s="132">
        <f t="shared" si="62"/>
        <v>1.5149700451541235E-2</v>
      </c>
      <c r="M126" s="132">
        <f>IF(A126&lt;$E$6,"",calcfit(Jo_1,Jo_2,Rshunt,Jsc,D126))</f>
        <v>1.8139999424420274E-2</v>
      </c>
      <c r="N126" s="100">
        <f t="shared" si="63"/>
        <v>2.7174069726734088E-2</v>
      </c>
      <c r="O126" s="100">
        <f t="shared" si="75"/>
        <v>3.9599710744005733E-8</v>
      </c>
      <c r="P126" s="103" t="str">
        <f t="shared" si="64"/>
        <v/>
      </c>
      <c r="Q126" s="103" t="str">
        <f t="shared" si="65"/>
        <v/>
      </c>
      <c r="R126" s="103" t="str">
        <f t="shared" si="66"/>
        <v/>
      </c>
      <c r="S126" s="103" t="str">
        <f t="shared" si="67"/>
        <v/>
      </c>
      <c r="T126" s="103" t="str">
        <f t="shared" si="68"/>
        <v/>
      </c>
      <c r="U126" s="97">
        <f t="shared" si="69"/>
        <v>3.8510601263243384E-2</v>
      </c>
      <c r="V126" s="103" t="str">
        <f t="shared" si="70"/>
        <v/>
      </c>
      <c r="W126" s="103" t="str">
        <f t="shared" si="71"/>
        <v/>
      </c>
      <c r="X126" s="132">
        <f t="shared" si="72"/>
        <v>1.344160580900922E-2</v>
      </c>
    </row>
    <row r="127" spans="1:24">
      <c r="A127" s="131">
        <v>1.2324E-2</v>
      </c>
      <c r="B127" s="131">
        <v>0.34766599999999998</v>
      </c>
      <c r="C127" s="131">
        <v>1.5380000000000001E-3</v>
      </c>
      <c r="D127" s="132">
        <f t="shared" si="57"/>
        <v>0.34425250859999995</v>
      </c>
      <c r="E127" s="132">
        <f t="shared" si="73"/>
        <v>-46.000000000000142</v>
      </c>
      <c r="F127" s="100">
        <f t="shared" si="58"/>
        <v>6752383693.5</v>
      </c>
      <c r="G127" s="100">
        <f>IF(WaferType="p-type",n_intr_boltzmann(0,SampleDoping,F127,298.15),n_intr_boltzmann(SampleDoping,0,F127,298.15))</f>
        <v>8873890001.5509243</v>
      </c>
      <c r="H127" s="100">
        <f t="shared" si="59"/>
        <v>6752383693.5</v>
      </c>
      <c r="I127" s="100">
        <f t="shared" si="74"/>
        <v>-12089444755244.406</v>
      </c>
      <c r="J127" s="132">
        <f t="shared" si="60"/>
        <v>1.4355237022713034E-2</v>
      </c>
      <c r="K127" s="132">
        <f t="shared" si="61"/>
        <v>1.4356128641346642E-2</v>
      </c>
      <c r="L127" s="132">
        <f t="shared" si="62"/>
        <v>1.4356128641346642E-2</v>
      </c>
      <c r="M127" s="132">
        <f>IF(A127&lt;$E$6,"",calcfit(Jo_1,Jo_2,Rshunt,Jsc,D127))</f>
        <v>1.7727788517332442E-2</v>
      </c>
      <c r="N127" s="100">
        <f t="shared" si="63"/>
        <v>3.6172488814864193E-2</v>
      </c>
      <c r="O127" s="100">
        <f t="shared" si="75"/>
        <v>3.4689061649146883E-8</v>
      </c>
      <c r="P127" s="103" t="str">
        <f t="shared" si="64"/>
        <v/>
      </c>
      <c r="Q127" s="103" t="str">
        <f t="shared" si="65"/>
        <v/>
      </c>
      <c r="R127" s="103" t="str">
        <f t="shared" si="66"/>
        <v/>
      </c>
      <c r="S127" s="103" t="str">
        <f t="shared" si="67"/>
        <v/>
      </c>
      <c r="T127" s="103" t="str">
        <f t="shared" si="68"/>
        <v/>
      </c>
      <c r="U127" s="97">
        <f t="shared" si="69"/>
        <v>3.8541632301737419E-2</v>
      </c>
      <c r="V127" s="103" t="str">
        <f t="shared" si="70"/>
        <v/>
      </c>
      <c r="W127" s="103" t="str">
        <f t="shared" si="71"/>
        <v/>
      </c>
      <c r="X127" s="132">
        <f t="shared" si="72"/>
        <v>1.3268053605411896E-2</v>
      </c>
    </row>
    <row r="128" spans="1:24">
      <c r="A128" s="131">
        <v>1.2428E-2</v>
      </c>
      <c r="B128" s="131">
        <v>0.342949</v>
      </c>
      <c r="C128" s="131">
        <v>1.4530000000000001E-3</v>
      </c>
      <c r="D128" s="132">
        <f t="shared" si="57"/>
        <v>0.33953550859999998</v>
      </c>
      <c r="E128" s="132">
        <f t="shared" si="73"/>
        <v>-45.355769230768992</v>
      </c>
      <c r="F128" s="100">
        <f t="shared" si="58"/>
        <v>5619833704</v>
      </c>
      <c r="G128" s="100">
        <f>IF(WaferType="p-type",n_intr_boltzmann(0,SampleDoping,F128,298.15),n_intr_boltzmann(SampleDoping,0,F128,298.15))</f>
        <v>8873889964.5119858</v>
      </c>
      <c r="H128" s="100">
        <f t="shared" si="59"/>
        <v>5619833704</v>
      </c>
      <c r="I128" s="100">
        <f t="shared" si="74"/>
        <v>-9920817957346.1367</v>
      </c>
      <c r="J128" s="132">
        <f t="shared" si="60"/>
        <v>1.3561872167751652E-2</v>
      </c>
      <c r="K128" s="132">
        <f t="shared" si="61"/>
        <v>1.3562603846197641E-2</v>
      </c>
      <c r="L128" s="132">
        <f t="shared" si="62"/>
        <v>1.3562603846197641E-2</v>
      </c>
      <c r="M128" s="132">
        <f>IF(A128&lt;$E$6,"",calcfit(Jo_1,Jo_2,Rshunt,Jsc,D128))</f>
        <v>1.7338272611627348E-2</v>
      </c>
      <c r="N128" s="100">
        <f t="shared" si="63"/>
        <v>4.7421590958658638E-2</v>
      </c>
      <c r="O128" s="100">
        <f t="shared" si="75"/>
        <v>3.055998727905146E-8</v>
      </c>
      <c r="P128" s="103" t="str">
        <f t="shared" si="64"/>
        <v/>
      </c>
      <c r="Q128" s="103" t="str">
        <f t="shared" si="65"/>
        <v/>
      </c>
      <c r="R128" s="103" t="str">
        <f t="shared" si="66"/>
        <v/>
      </c>
      <c r="S128" s="103" t="str">
        <f t="shared" si="67"/>
        <v/>
      </c>
      <c r="T128" s="103" t="str">
        <f t="shared" si="68"/>
        <v/>
      </c>
      <c r="U128" s="97">
        <f t="shared" si="69"/>
        <v>3.8572661501802129E-2</v>
      </c>
      <c r="V128" s="103" t="str">
        <f t="shared" si="70"/>
        <v/>
      </c>
      <c r="W128" s="103" t="str">
        <f t="shared" si="71"/>
        <v/>
      </c>
      <c r="X128" s="132">
        <f t="shared" si="72"/>
        <v>1.3096788241070025E-2</v>
      </c>
    </row>
    <row r="129" spans="1:24">
      <c r="A129" s="131">
        <v>1.2532E-2</v>
      </c>
      <c r="B129" s="131">
        <v>0.33837</v>
      </c>
      <c r="C129" s="131">
        <v>1.3829999999999999E-3</v>
      </c>
      <c r="D129" s="132">
        <f t="shared" si="57"/>
        <v>0.33495650859999998</v>
      </c>
      <c r="E129" s="132">
        <f t="shared" si="73"/>
        <v>-44.028846153846182</v>
      </c>
      <c r="F129" s="100">
        <f t="shared" si="58"/>
        <v>4702431567</v>
      </c>
      <c r="G129" s="100">
        <f>IF(WaferType="p-type",n_intr_boltzmann(0,SampleDoping,F129,298.15),n_intr_boltzmann(SampleDoping,0,F129,298.15))</f>
        <v>8873889933.6160393</v>
      </c>
      <c r="H129" s="100">
        <f t="shared" si="59"/>
        <v>4702431567</v>
      </c>
      <c r="I129" s="100">
        <f t="shared" si="74"/>
        <v>-8058446418098.916</v>
      </c>
      <c r="J129" s="132">
        <f t="shared" si="60"/>
        <v>1.290851287543051E-2</v>
      </c>
      <c r="K129" s="132">
        <f t="shared" si="61"/>
        <v>1.2909107200573621E-2</v>
      </c>
      <c r="L129" s="132">
        <f t="shared" si="62"/>
        <v>1.2909107200573621E-2</v>
      </c>
      <c r="M129" s="132">
        <f>IF(A129&lt;$E$6,"",calcfit(Jo_1,Jo_2,Rshunt,Jsc,D129))</f>
        <v>1.697480707021088E-2</v>
      </c>
      <c r="N129" s="100">
        <f t="shared" si="63"/>
        <v>5.7366841313333222E-2</v>
      </c>
      <c r="O129" s="100">
        <f t="shared" si="75"/>
        <v>2.6865755490808581E-8</v>
      </c>
      <c r="P129" s="103" t="str">
        <f t="shared" si="64"/>
        <v/>
      </c>
      <c r="Q129" s="103" t="str">
        <f t="shared" si="65"/>
        <v/>
      </c>
      <c r="R129" s="103" t="str">
        <f t="shared" si="66"/>
        <v/>
      </c>
      <c r="S129" s="103" t="str">
        <f t="shared" si="67"/>
        <v/>
      </c>
      <c r="T129" s="103" t="str">
        <f t="shared" si="68"/>
        <v/>
      </c>
      <c r="U129" s="97">
        <f t="shared" si="69"/>
        <v>3.8598215181135972E-2</v>
      </c>
      <c r="V129" s="103" t="str">
        <f t="shared" si="70"/>
        <v/>
      </c>
      <c r="W129" s="103" t="str">
        <f t="shared" si="71"/>
        <v/>
      </c>
      <c r="X129" s="132">
        <f t="shared" si="72"/>
        <v>1.292872339526482E-2</v>
      </c>
    </row>
    <row r="130" spans="1:24">
      <c r="A130" s="131">
        <v>1.2636E-2</v>
      </c>
      <c r="B130" s="131">
        <v>0.324208</v>
      </c>
      <c r="C130" s="131">
        <v>1.1640000000000001E-3</v>
      </c>
      <c r="D130" s="132">
        <f t="shared" si="57"/>
        <v>0.32079450859999997</v>
      </c>
      <c r="E130" s="132">
        <f t="shared" si="73"/>
        <v>-136.1730769230771</v>
      </c>
      <c r="F130" s="100">
        <f t="shared" si="58"/>
        <v>2709789264</v>
      </c>
      <c r="G130" s="100">
        <f>IF(WaferType="p-type",n_intr_boltzmann(0,SampleDoping,F130,298.15),n_intr_boltzmann(SampleDoping,0,F130,298.15))</f>
        <v>8873889862.0285416</v>
      </c>
      <c r="H130" s="100">
        <f t="shared" si="59"/>
        <v>2709789264</v>
      </c>
      <c r="I130" s="100">
        <f t="shared" si="74"/>
        <v>-14362115754347.047</v>
      </c>
      <c r="J130" s="132">
        <f t="shared" si="60"/>
        <v>1.0864431660882948E-2</v>
      </c>
      <c r="K130" s="132">
        <f t="shared" si="61"/>
        <v>1.0865490893154061E-2</v>
      </c>
      <c r="L130" s="132">
        <f t="shared" si="62"/>
        <v>1.0865490893154061E-2</v>
      </c>
      <c r="M130" s="132">
        <f>IF(A130&lt;$E$6,"",calcfit(Jo_1,Jo_2,Rshunt,Jsc,D130))</f>
        <v>1.5929223809745714E-2</v>
      </c>
      <c r="N130" s="100">
        <f t="shared" si="63"/>
        <v>0.10105373118979311</v>
      </c>
      <c r="O130" s="100">
        <f t="shared" si="75"/>
        <v>1.8393270028918745E-8</v>
      </c>
      <c r="P130" s="103" t="str">
        <f t="shared" si="64"/>
        <v/>
      </c>
      <c r="Q130" s="103" t="str">
        <f t="shared" si="65"/>
        <v/>
      </c>
      <c r="R130" s="103" t="str">
        <f t="shared" si="66"/>
        <v/>
      </c>
      <c r="S130" s="103" t="str">
        <f t="shared" si="67"/>
        <v/>
      </c>
      <c r="T130" s="103" t="str">
        <f t="shared" si="68"/>
        <v/>
      </c>
      <c r="U130" s="97">
        <f t="shared" si="69"/>
        <v>3.8678126709605E-2</v>
      </c>
      <c r="V130" s="103" t="str">
        <f t="shared" si="70"/>
        <v/>
      </c>
      <c r="W130" s="103" t="str">
        <f t="shared" si="71"/>
        <v/>
      </c>
      <c r="X130" s="132">
        <f t="shared" si="72"/>
        <v>1.2407730651376269E-2</v>
      </c>
    </row>
    <row r="131" spans="1:24">
      <c r="A131" s="131">
        <v>1.274E-2</v>
      </c>
      <c r="B131" s="131">
        <v>0.25262600000000002</v>
      </c>
      <c r="C131" s="131">
        <v>3.3700000000000001E-4</v>
      </c>
      <c r="D131" s="132">
        <f t="shared" si="57"/>
        <v>0.24921250860000002</v>
      </c>
      <c r="E131" s="132">
        <f t="shared" si="73"/>
        <v>-688.28846153846155</v>
      </c>
      <c r="F131" s="100">
        <f t="shared" si="58"/>
        <v>167090113</v>
      </c>
      <c r="G131" s="100">
        <f>IF(WaferType="p-type",n_intr_boltzmann(0,SampleDoping,F131,298.15),n_intr_boltzmann(SampleDoping,0,F131,298.15))</f>
        <v>8873889733.5530376</v>
      </c>
      <c r="H131" s="100">
        <f t="shared" si="59"/>
        <v>167090113</v>
      </c>
      <c r="I131" s="100">
        <f t="shared" si="74"/>
        <v>-4476236760523.3115</v>
      </c>
      <c r="J131" s="132">
        <f t="shared" si="60"/>
        <v>3.1454583073174855E-3</v>
      </c>
      <c r="K131" s="132">
        <f t="shared" si="61"/>
        <v>3.1457884379549896E-3</v>
      </c>
      <c r="L131" s="132">
        <f t="shared" si="62"/>
        <v>3.1457884379549896E-3</v>
      </c>
      <c r="M131" s="132">
        <f>IF(A131&lt;$E$6,"",calcfit(Jo_1,Jo_2,Rshunt,Jsc,D131))</f>
        <v>1.1713775742799136E-2</v>
      </c>
      <c r="N131" s="100">
        <f t="shared" si="63"/>
        <v>0.53501236333288837</v>
      </c>
      <c r="O131" s="100">
        <f t="shared" si="75"/>
        <v>3.9173648476792589E-9</v>
      </c>
      <c r="P131" s="103" t="str">
        <f t="shared" si="64"/>
        <v/>
      </c>
      <c r="Q131" s="103" t="str">
        <f t="shared" si="65"/>
        <v/>
      </c>
      <c r="R131" s="103" t="str">
        <f t="shared" si="66"/>
        <v/>
      </c>
      <c r="S131" s="103" t="str">
        <f t="shared" si="67"/>
        <v/>
      </c>
      <c r="T131" s="103" t="str">
        <f t="shared" si="68"/>
        <v/>
      </c>
      <c r="U131" s="97">
        <f t="shared" si="69"/>
        <v>3.8979990234710646E-2</v>
      </c>
      <c r="V131" s="103" t="str">
        <f t="shared" si="70"/>
        <v/>
      </c>
      <c r="W131" s="103" t="str">
        <f t="shared" si="71"/>
        <v/>
      </c>
      <c r="X131" s="132">
        <f t="shared" si="72"/>
        <v>9.7143011515957445E-3</v>
      </c>
    </row>
    <row r="132" spans="1:24">
      <c r="A132" s="131">
        <v>1.2844E-2</v>
      </c>
      <c r="B132" s="131">
        <v>0.21644099999999999</v>
      </c>
      <c r="C132" s="131">
        <v>1.47E-4</v>
      </c>
      <c r="D132" s="132">
        <f t="shared" si="57"/>
        <v>0.2130275086</v>
      </c>
      <c r="E132" s="132">
        <f t="shared" si="73"/>
        <v>-347.93269230769278</v>
      </c>
      <c r="F132" s="100">
        <f t="shared" si="58"/>
        <v>40859997</v>
      </c>
      <c r="G132" s="100">
        <f>IF(WaferType="p-type",n_intr_boltzmann(0,SampleDoping,F132,298.15),n_intr_boltzmann(SampleDoping,0,F132,298.15))</f>
        <v>8873889714.5729713</v>
      </c>
      <c r="H132" s="100">
        <f t="shared" si="59"/>
        <v>40859997</v>
      </c>
      <c r="I132" s="100">
        <f t="shared" si="74"/>
        <v>-553331485884.93079</v>
      </c>
      <c r="J132" s="132">
        <f t="shared" si="60"/>
        <v>1.3720545138743926E-3</v>
      </c>
      <c r="K132" s="132">
        <f t="shared" si="61"/>
        <v>1.3720953230822069E-3</v>
      </c>
      <c r="L132" s="132">
        <f t="shared" si="62"/>
        <v>1.3720953230822069E-3</v>
      </c>
      <c r="M132" s="132">
        <f>IF(A132&lt;$E$6,"",calcfit(Jo_1,Jo_2,Rshunt,Jsc,D132))</f>
        <v>9.9012628718664203E-3</v>
      </c>
      <c r="N132" s="100">
        <f t="shared" si="63"/>
        <v>0.74204818976115217</v>
      </c>
      <c r="O132" s="100">
        <f t="shared" si="75"/>
        <v>2.1962755531875016E-9</v>
      </c>
      <c r="P132" s="103" t="str">
        <f t="shared" si="64"/>
        <v/>
      </c>
      <c r="Q132" s="103" t="str">
        <f t="shared" si="65"/>
        <v/>
      </c>
      <c r="R132" s="103" t="str">
        <f t="shared" si="66"/>
        <v/>
      </c>
      <c r="S132" s="103" t="str">
        <f>IF(Q132="","",#REF!)</f>
        <v/>
      </c>
      <c r="T132" s="103" t="str">
        <f>IF(R132="","",#REF!)</f>
        <v/>
      </c>
      <c r="U132" s="97">
        <f t="shared" si="69"/>
        <v>3.9049346956581514E-2</v>
      </c>
      <c r="V132" s="103" t="str">
        <f t="shared" si="70"/>
        <v/>
      </c>
      <c r="W132" s="103" t="str">
        <f t="shared" si="71"/>
        <v/>
      </c>
      <c r="X132" s="132">
        <f t="shared" si="72"/>
        <v>8.3185850946175515E-3</v>
      </c>
    </row>
    <row r="133" spans="1:24">
      <c r="A133" s="131">
        <v>1.2947999999999999E-2</v>
      </c>
      <c r="B133" s="131">
        <v>0</v>
      </c>
      <c r="C133" s="131">
        <v>0</v>
      </c>
      <c r="D133" s="132">
        <f t="shared" si="57"/>
        <v>-3.4134914000000034E-3</v>
      </c>
      <c r="E133" s="132">
        <f t="shared" si="73"/>
        <v>-2081.1634615384633</v>
      </c>
      <c r="F133" s="100">
        <f t="shared" si="58"/>
        <v>8968</v>
      </c>
      <c r="G133" s="100">
        <f>IF(WaferType="p-type",n_intr_boltzmann(0,SampleDoping,F133,298.15),n_intr_boltzmann(SampleDoping,0,F133,298.15))</f>
        <v>8873889689.3261433</v>
      </c>
      <c r="H133" s="100">
        <f t="shared" si="59"/>
        <v>8968</v>
      </c>
      <c r="I133" s="100">
        <f t="shared" si="74"/>
        <v>-726424012.51970148</v>
      </c>
      <c r="J133" s="132">
        <f t="shared" si="60"/>
        <v>1E-4</v>
      </c>
      <c r="K133" s="132">
        <f t="shared" si="61"/>
        <v>1.0000005357509784E-4</v>
      </c>
      <c r="L133" s="132">
        <f t="shared" si="62"/>
        <v>1E-3</v>
      </c>
      <c r="M133" s="132">
        <f>IF(A133&lt;$E$6,"",calcfit(Jo_1,Jo_2,Rshunt,Jsc,D133))</f>
        <v>-1.5392999096382209E-4</v>
      </c>
      <c r="N133" s="100">
        <f t="shared" si="63"/>
        <v>56.196909697542374</v>
      </c>
      <c r="O133" s="100">
        <f t="shared" si="75"/>
        <v>6.6140638119194937E-13</v>
      </c>
      <c r="P133" s="103" t="str">
        <f t="shared" si="64"/>
        <v/>
      </c>
      <c r="Q133" s="103" t="str">
        <f t="shared" si="65"/>
        <v/>
      </c>
      <c r="R133" s="103" t="str">
        <f t="shared" si="66"/>
        <v/>
      </c>
      <c r="S133" s="103" t="str">
        <f>IF(Q133="","",#REF!)</f>
        <v/>
      </c>
      <c r="T133" s="103" t="str">
        <f>IF(R133="","",#REF!)</f>
        <v/>
      </c>
      <c r="U133" s="97">
        <f t="shared" si="69"/>
        <v>3.9063897E-2</v>
      </c>
      <c r="V133" s="103" t="str">
        <f t="shared" si="70"/>
        <v/>
      </c>
      <c r="W133" s="103" t="str">
        <f t="shared" si="71"/>
        <v/>
      </c>
      <c r="X133" s="132">
        <f t="shared" si="72"/>
        <v>-1.3334427645998593E-4</v>
      </c>
    </row>
    <row r="134" spans="1:24">
      <c r="A134" s="86" t="s">
        <v>40</v>
      </c>
      <c r="B134" s="86" t="b">
        <v>1</v>
      </c>
    </row>
    <row r="136" spans="1:24">
      <c r="A136" s="86" t="s">
        <v>85</v>
      </c>
      <c r="B136" s="86" t="b">
        <v>0</v>
      </c>
    </row>
    <row r="138" spans="1:24">
      <c r="A138" s="86" t="s">
        <v>74</v>
      </c>
      <c r="B138" s="86">
        <v>0</v>
      </c>
    </row>
    <row r="140" spans="1:24">
      <c r="A140" s="86" t="s">
        <v>73</v>
      </c>
      <c r="B140" s="86">
        <v>0</v>
      </c>
    </row>
    <row r="142" spans="1:24">
      <c r="A142" s="86" t="s">
        <v>72</v>
      </c>
      <c r="B142" s="86">
        <v>10</v>
      </c>
    </row>
    <row r="144" spans="1:24">
      <c r="A144" s="86" t="s">
        <v>71</v>
      </c>
      <c r="B144" s="86">
        <v>10</v>
      </c>
    </row>
    <row r="146" spans="1:2">
      <c r="A146" s="86" t="s">
        <v>78</v>
      </c>
      <c r="B146" s="86">
        <v>0</v>
      </c>
    </row>
    <row r="148" spans="1:2">
      <c r="A148" s="86" t="s">
        <v>77</v>
      </c>
      <c r="B148" s="86">
        <v>0</v>
      </c>
    </row>
    <row r="150" spans="1:2">
      <c r="A150" s="86" t="s">
        <v>76</v>
      </c>
      <c r="B150" s="86">
        <v>0.69414299999999995</v>
      </c>
    </row>
    <row r="152" spans="1:2">
      <c r="A152" s="86" t="s">
        <v>75</v>
      </c>
      <c r="B152" s="86">
        <v>0.584538</v>
      </c>
    </row>
    <row r="154" spans="1:2">
      <c r="A154" s="86" t="s">
        <v>46</v>
      </c>
      <c r="B154" s="86">
        <v>125</v>
      </c>
    </row>
    <row r="156" spans="1:2">
      <c r="A156" s="86" t="s">
        <v>44</v>
      </c>
      <c r="B156" s="86">
        <v>13000</v>
      </c>
    </row>
    <row r="158" spans="1:2">
      <c r="A158" s="86" t="s">
        <v>41</v>
      </c>
      <c r="B158" s="86">
        <v>0.2</v>
      </c>
    </row>
    <row r="160" spans="1:2">
      <c r="A160" s="86" t="s">
        <v>42</v>
      </c>
      <c r="B160" s="86">
        <v>0.02</v>
      </c>
    </row>
    <row r="162" spans="1:2">
      <c r="A162" s="86" t="s">
        <v>43</v>
      </c>
      <c r="B162" s="86">
        <v>1000</v>
      </c>
    </row>
    <row r="164" spans="1:2">
      <c r="A164" s="86" t="s">
        <v>45</v>
      </c>
      <c r="B164" s="86">
        <v>0.05</v>
      </c>
    </row>
    <row r="166" spans="1:2">
      <c r="A166" s="86" t="s">
        <v>47</v>
      </c>
      <c r="B166" s="86">
        <v>-0.17808499999999999</v>
      </c>
    </row>
    <row r="168" spans="1:2">
      <c r="A168" s="86" t="s">
        <v>81</v>
      </c>
      <c r="B168" s="86" t="b">
        <v>0</v>
      </c>
    </row>
    <row r="170" spans="1:2">
      <c r="A170" s="86" t="s">
        <v>79</v>
      </c>
      <c r="B170" s="86" t="b">
        <v>1</v>
      </c>
    </row>
    <row r="172" spans="1:2">
      <c r="A172" s="86" t="s">
        <v>80</v>
      </c>
      <c r="B172" s="86" t="b">
        <v>0</v>
      </c>
    </row>
    <row r="174" spans="1:2">
      <c r="A174" s="86" t="s">
        <v>84</v>
      </c>
      <c r="B174" s="86">
        <v>20000</v>
      </c>
    </row>
    <row r="176" spans="1:2">
      <c r="A176" s="86" t="s">
        <v>82</v>
      </c>
      <c r="B176" s="86">
        <v>2</v>
      </c>
    </row>
    <row r="178" spans="1:2">
      <c r="A178" s="86" t="s">
        <v>83</v>
      </c>
      <c r="B178" s="86">
        <v>2</v>
      </c>
    </row>
    <row r="180" spans="1:2">
      <c r="A180" s="86" t="s">
        <v>86</v>
      </c>
      <c r="B180" s="86">
        <v>20</v>
      </c>
    </row>
    <row r="182" spans="1:2">
      <c r="A182" s="86" t="s">
        <v>88</v>
      </c>
      <c r="B182" s="86">
        <v>1</v>
      </c>
    </row>
    <row r="184" spans="1:2">
      <c r="A184" s="86" t="s">
        <v>92</v>
      </c>
      <c r="B184" s="86" t="b">
        <v>0</v>
      </c>
    </row>
    <row r="186" spans="1:2">
      <c r="A186" s="86" t="s">
        <v>268</v>
      </c>
      <c r="B186" s="86">
        <v>0</v>
      </c>
    </row>
    <row r="188" spans="1:2" ht="12.75" customHeight="1">
      <c r="A188" s="86" t="s">
        <v>269</v>
      </c>
      <c r="B188" s="86">
        <v>-1</v>
      </c>
    </row>
    <row r="191" spans="1:2">
      <c r="A191" s="86" t="s">
        <v>93</v>
      </c>
      <c r="B191" s="86">
        <v>1</v>
      </c>
    </row>
    <row r="193" spans="1:2">
      <c r="A193" s="86" t="s">
        <v>94</v>
      </c>
      <c r="B193" s="86">
        <v>1</v>
      </c>
    </row>
    <row r="195" spans="1:2">
      <c r="A195" s="86" t="s">
        <v>95</v>
      </c>
      <c r="B195" s="86">
        <v>1</v>
      </c>
    </row>
    <row r="197" spans="1:2">
      <c r="A197" s="86" t="s">
        <v>96</v>
      </c>
      <c r="B197" s="86">
        <v>1</v>
      </c>
    </row>
    <row r="199" spans="1:2">
      <c r="A199" s="86" t="s">
        <v>97</v>
      </c>
      <c r="B199" s="86">
        <v>1</v>
      </c>
    </row>
    <row r="201" spans="1:2">
      <c r="A201" s="86" t="s">
        <v>98</v>
      </c>
      <c r="B201" s="86">
        <v>1</v>
      </c>
    </row>
    <row r="203" spans="1:2">
      <c r="A203" s="86" t="s">
        <v>99</v>
      </c>
      <c r="B203" s="86">
        <v>1</v>
      </c>
    </row>
    <row r="205" spans="1:2">
      <c r="A205" s="86" t="s">
        <v>100</v>
      </c>
      <c r="B205" s="86" t="s">
        <v>193</v>
      </c>
    </row>
    <row r="207" spans="1:2">
      <c r="A207" s="86" t="s">
        <v>101</v>
      </c>
      <c r="B207" s="86">
        <v>1</v>
      </c>
    </row>
    <row r="209" spans="1:2">
      <c r="A209" s="86" t="s">
        <v>102</v>
      </c>
      <c r="B209" s="86">
        <v>1</v>
      </c>
    </row>
    <row r="211" spans="1:2">
      <c r="A211" s="86" t="s">
        <v>103</v>
      </c>
      <c r="B211" s="86">
        <v>1</v>
      </c>
    </row>
    <row r="213" spans="1:2">
      <c r="A213" s="86" t="s">
        <v>104</v>
      </c>
      <c r="B213" s="86">
        <v>1</v>
      </c>
    </row>
    <row r="215" spans="1:2">
      <c r="A215" s="86" t="s">
        <v>105</v>
      </c>
      <c r="B215" s="86">
        <v>1</v>
      </c>
    </row>
    <row r="217" spans="1:2">
      <c r="A217" s="86" t="s">
        <v>106</v>
      </c>
      <c r="B217" s="86">
        <v>1</v>
      </c>
    </row>
    <row r="219" spans="1:2">
      <c r="A219" s="86" t="s">
        <v>107</v>
      </c>
      <c r="B219" s="86">
        <v>1</v>
      </c>
    </row>
    <row r="221" spans="1:2">
      <c r="A221" s="86" t="s">
        <v>108</v>
      </c>
      <c r="B221" s="86">
        <v>1</v>
      </c>
    </row>
    <row r="223" spans="1:2">
      <c r="A223" s="86" t="s">
        <v>109</v>
      </c>
      <c r="B223" s="86">
        <v>1</v>
      </c>
    </row>
    <row r="225" spans="1:2">
      <c r="A225" s="86" t="s">
        <v>110</v>
      </c>
      <c r="B225" s="86">
        <v>1</v>
      </c>
    </row>
    <row r="227" spans="1:2">
      <c r="A227" s="86" t="s">
        <v>111</v>
      </c>
      <c r="B227" s="86">
        <v>1</v>
      </c>
    </row>
    <row r="229" spans="1:2">
      <c r="A229" s="86" t="s">
        <v>112</v>
      </c>
      <c r="B229" s="86">
        <v>1</v>
      </c>
    </row>
    <row r="231" spans="1:2">
      <c r="A231" s="86" t="s">
        <v>194</v>
      </c>
      <c r="B231" s="86">
        <v>1</v>
      </c>
    </row>
    <row r="233" spans="1:2">
      <c r="A233" s="86" t="s">
        <v>195</v>
      </c>
      <c r="B233" s="86">
        <v>1</v>
      </c>
    </row>
    <row r="235" spans="1:2">
      <c r="A235" s="86" t="s">
        <v>196</v>
      </c>
      <c r="B235" s="86">
        <v>1</v>
      </c>
    </row>
    <row r="237" spans="1:2">
      <c r="A237" s="86" t="s">
        <v>197</v>
      </c>
      <c r="B237" s="86">
        <v>1</v>
      </c>
    </row>
    <row r="239" spans="1:2">
      <c r="A239" s="86" t="s">
        <v>198</v>
      </c>
      <c r="B239" s="86">
        <v>1</v>
      </c>
    </row>
    <row r="241" spans="1:2">
      <c r="A241" s="86" t="s">
        <v>199</v>
      </c>
      <c r="B241" s="86">
        <v>1</v>
      </c>
    </row>
    <row r="243" spans="1:2">
      <c r="A243" s="86" t="s">
        <v>200</v>
      </c>
      <c r="B243" s="86">
        <v>1</v>
      </c>
    </row>
    <row r="245" spans="1:2">
      <c r="A245" s="86" t="s">
        <v>201</v>
      </c>
      <c r="B245" s="86">
        <v>1</v>
      </c>
    </row>
    <row r="247" spans="1:2">
      <c r="A247" s="86" t="s">
        <v>202</v>
      </c>
      <c r="B247" s="86">
        <v>1</v>
      </c>
    </row>
    <row r="249" spans="1:2">
      <c r="A249" s="86" t="s">
        <v>203</v>
      </c>
      <c r="B249" s="86">
        <v>1</v>
      </c>
    </row>
    <row r="251" spans="1:2">
      <c r="A251" s="86" t="s">
        <v>204</v>
      </c>
      <c r="B251" s="86">
        <v>1</v>
      </c>
    </row>
    <row r="253" spans="1:2">
      <c r="A253" s="86" t="s">
        <v>205</v>
      </c>
      <c r="B253" s="86">
        <v>1</v>
      </c>
    </row>
    <row r="255" spans="1:2">
      <c r="A255" s="86" t="s">
        <v>206</v>
      </c>
      <c r="B255" s="86">
        <v>1</v>
      </c>
    </row>
    <row r="257" spans="1:2">
      <c r="A257" s="86" t="s">
        <v>207</v>
      </c>
      <c r="B257" s="86">
        <v>1</v>
      </c>
    </row>
    <row r="259" spans="1:2">
      <c r="A259" s="86" t="s">
        <v>208</v>
      </c>
      <c r="B259" s="86">
        <v>1</v>
      </c>
    </row>
    <row r="261" spans="1:2">
      <c r="A261" s="86" t="s">
        <v>209</v>
      </c>
      <c r="B261" s="86">
        <v>1</v>
      </c>
    </row>
    <row r="263" spans="1:2">
      <c r="A263" s="86" t="s">
        <v>210</v>
      </c>
      <c r="B263" s="86">
        <v>1</v>
      </c>
    </row>
    <row r="265" spans="1:2">
      <c r="A265" s="86" t="s">
        <v>211</v>
      </c>
      <c r="B265" s="86">
        <v>1</v>
      </c>
    </row>
    <row r="267" spans="1:2">
      <c r="A267" s="86" t="s">
        <v>113</v>
      </c>
    </row>
    <row r="268" spans="1:2">
      <c r="A268" s="86" t="s">
        <v>114</v>
      </c>
      <c r="B268" s="86" t="s">
        <v>193</v>
      </c>
    </row>
    <row r="270" spans="1:2">
      <c r="A270" s="86" t="s">
        <v>115</v>
      </c>
      <c r="B270" s="86" t="s">
        <v>212</v>
      </c>
    </row>
    <row r="272" spans="1:2">
      <c r="A272" s="86" t="s">
        <v>116</v>
      </c>
      <c r="B272" s="86" t="s">
        <v>212</v>
      </c>
    </row>
    <row r="274" spans="1:2">
      <c r="A274" s="86" t="s">
        <v>117</v>
      </c>
      <c r="B274" s="86" t="s">
        <v>193</v>
      </c>
    </row>
    <row r="276" spans="1:2">
      <c r="A276" s="86" t="s">
        <v>118</v>
      </c>
      <c r="B276" s="86" t="s">
        <v>212</v>
      </c>
    </row>
    <row r="278" spans="1:2">
      <c r="A278" s="86" t="s">
        <v>119</v>
      </c>
      <c r="B278" s="86" t="s">
        <v>193</v>
      </c>
    </row>
    <row r="280" spans="1:2">
      <c r="A280" s="86" t="s">
        <v>120</v>
      </c>
      <c r="B280" s="86" t="s">
        <v>212</v>
      </c>
    </row>
    <row r="282" spans="1:2">
      <c r="A282" s="86" t="s">
        <v>121</v>
      </c>
      <c r="B282" s="86">
        <v>1</v>
      </c>
    </row>
    <row r="284" spans="1:2">
      <c r="A284" s="86" t="s">
        <v>122</v>
      </c>
      <c r="B284" s="86">
        <v>1</v>
      </c>
    </row>
    <row r="286" spans="1:2">
      <c r="A286" s="86" t="s">
        <v>123</v>
      </c>
      <c r="B286" s="86">
        <v>1</v>
      </c>
    </row>
    <row r="288" spans="1:2">
      <c r="A288" s="86" t="s">
        <v>124</v>
      </c>
      <c r="B288" s="86" t="s">
        <v>212</v>
      </c>
    </row>
    <row r="290" spans="1:2">
      <c r="A290" s="86" t="s">
        <v>125</v>
      </c>
      <c r="B290" s="86" t="s">
        <v>212</v>
      </c>
    </row>
    <row r="292" spans="1:2">
      <c r="A292" s="86" t="s">
        <v>126</v>
      </c>
      <c r="B292" s="86">
        <v>1</v>
      </c>
    </row>
    <row r="294" spans="1:2">
      <c r="A294" s="86" t="s">
        <v>127</v>
      </c>
      <c r="B294" s="86">
        <v>1</v>
      </c>
    </row>
    <row r="296" spans="1:2">
      <c r="A296" s="86" t="s">
        <v>128</v>
      </c>
      <c r="B296" s="86" t="s">
        <v>212</v>
      </c>
    </row>
    <row r="298" spans="1:2">
      <c r="A298" s="86" t="s">
        <v>213</v>
      </c>
      <c r="B298" s="86" t="s">
        <v>212</v>
      </c>
    </row>
    <row r="300" spans="1:2">
      <c r="A300" s="86" t="s">
        <v>129</v>
      </c>
    </row>
    <row r="301" spans="1:2">
      <c r="A301" s="86" t="s">
        <v>130</v>
      </c>
      <c r="B301" s="86">
        <v>1</v>
      </c>
    </row>
    <row r="303" spans="1:2">
      <c r="A303" s="86" t="s">
        <v>131</v>
      </c>
      <c r="B303" s="86">
        <v>1</v>
      </c>
    </row>
    <row r="305" spans="1:2">
      <c r="A305" s="86" t="s">
        <v>132</v>
      </c>
      <c r="B305" s="86">
        <v>1</v>
      </c>
    </row>
    <row r="307" spans="1:2">
      <c r="A307" s="86" t="s">
        <v>133</v>
      </c>
      <c r="B307" s="86">
        <v>1</v>
      </c>
    </row>
    <row r="309" spans="1:2">
      <c r="A309" s="86" t="s">
        <v>134</v>
      </c>
      <c r="B309" s="86">
        <v>1</v>
      </c>
    </row>
    <row r="311" spans="1:2">
      <c r="A311" s="86" t="s">
        <v>135</v>
      </c>
      <c r="B311" s="86">
        <v>1</v>
      </c>
    </row>
    <row r="313" spans="1:2">
      <c r="A313" s="86" t="s">
        <v>136</v>
      </c>
      <c r="B313" s="86">
        <v>1</v>
      </c>
    </row>
    <row r="315" spans="1:2">
      <c r="A315" s="86" t="s">
        <v>214</v>
      </c>
      <c r="B315" s="86">
        <v>1</v>
      </c>
    </row>
  </sheetData>
  <sheetProtection sheet="1" objects="1" scenarios="1"/>
  <phoneticPr fontId="0" type="noConversion"/>
  <printOptions gridLines="1" gridLinesSet="0"/>
  <pageMargins left="0.2" right="0.22" top="0.36" bottom="0.19" header="0.17" footer="0.21"/>
  <pageSetup scale="70" orientation="landscape" horizontalDpi="4294967292" verticalDpi="4294967292" r:id="rId1"/>
  <headerFooter alignWithMargins="0">
    <oddHeader>&amp;F</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4"/>
  <sheetViews>
    <sheetView zoomScaleNormal="100" workbookViewId="0">
      <selection activeCell="C4" sqref="C4"/>
    </sheetView>
  </sheetViews>
  <sheetFormatPr defaultRowHeight="12.75" customHeight="1"/>
  <cols>
    <col min="1" max="1" width="9.140625" style="86"/>
    <col min="2" max="2" width="20.7109375" style="86" customWidth="1"/>
    <col min="3" max="3" width="27.7109375" style="86" customWidth="1"/>
    <col min="4" max="4" width="19" style="86" customWidth="1"/>
    <col min="5" max="6" width="9.140625" style="86"/>
    <col min="7" max="7" width="37.140625" style="86" customWidth="1"/>
    <col min="8" max="8" width="19.28515625" style="86" customWidth="1"/>
    <col min="9" max="9" width="17.7109375" style="86" customWidth="1"/>
    <col min="10" max="16384" width="9.140625" style="86"/>
  </cols>
  <sheetData>
    <row r="1" spans="2:11" s="69" customFormat="1"/>
    <row r="2" spans="2:11" s="69" customFormat="1">
      <c r="B2" s="70"/>
      <c r="C2" s="70"/>
    </row>
    <row r="3" spans="2:11" s="69" customFormat="1" ht="15.75">
      <c r="B3" s="71" t="s">
        <v>152</v>
      </c>
      <c r="F3" s="72" t="s">
        <v>168</v>
      </c>
      <c r="G3" s="70"/>
      <c r="J3" s="70"/>
      <c r="K3" s="70"/>
    </row>
    <row r="4" spans="2:11" s="69" customFormat="1" ht="27" customHeight="1">
      <c r="B4" s="73" t="s">
        <v>154</v>
      </c>
      <c r="C4" s="74">
        <v>0.10713860018936346</v>
      </c>
      <c r="F4" s="75">
        <v>13000</v>
      </c>
      <c r="G4" s="76" t="s">
        <v>258</v>
      </c>
      <c r="H4" s="77"/>
      <c r="I4" s="70"/>
    </row>
    <row r="5" spans="2:11" s="69" customFormat="1" ht="14.25" customHeight="1">
      <c r="B5" s="73" t="s">
        <v>163</v>
      </c>
      <c r="C5" s="74" t="s">
        <v>267</v>
      </c>
      <c r="F5" s="75" t="s">
        <v>182</v>
      </c>
      <c r="G5" s="76" t="s">
        <v>170</v>
      </c>
      <c r="H5" s="77"/>
      <c r="I5" s="70"/>
    </row>
    <row r="6" spans="2:11" s="69" customFormat="1">
      <c r="F6" s="75" t="s">
        <v>182</v>
      </c>
      <c r="G6" s="76" t="s">
        <v>171</v>
      </c>
      <c r="H6" s="77"/>
      <c r="I6" s="70"/>
    </row>
    <row r="7" spans="2:11" s="69" customFormat="1" ht="15.75">
      <c r="B7" s="71" t="s">
        <v>157</v>
      </c>
    </row>
    <row r="8" spans="2:11" s="69" customFormat="1" ht="15.75">
      <c r="B8" s="78" t="s">
        <v>158</v>
      </c>
      <c r="C8" s="75" t="s">
        <v>90</v>
      </c>
      <c r="F8" s="72" t="s">
        <v>217</v>
      </c>
      <c r="G8" s="70"/>
    </row>
    <row r="9" spans="2:11" s="69" customFormat="1">
      <c r="B9" s="78" t="s">
        <v>233</v>
      </c>
      <c r="C9" s="75" t="s">
        <v>235</v>
      </c>
      <c r="F9" s="79" t="b">
        <v>1</v>
      </c>
      <c r="G9" s="78" t="s">
        <v>218</v>
      </c>
    </row>
    <row r="10" spans="2:11" s="69" customFormat="1">
      <c r="B10" s="80" t="s">
        <v>248</v>
      </c>
    </row>
    <row r="11" spans="2:11" s="69" customFormat="1" ht="15.75">
      <c r="B11" s="71" t="s">
        <v>156</v>
      </c>
    </row>
    <row r="12" spans="2:11" s="69" customFormat="1">
      <c r="B12" s="81" t="s">
        <v>153</v>
      </c>
      <c r="C12" s="75">
        <v>2.2000000000000001E-3</v>
      </c>
    </row>
    <row r="13" spans="2:11" s="69" customFormat="1"/>
    <row r="14" spans="2:11" s="69" customFormat="1" ht="15.75">
      <c r="B14" s="72" t="s">
        <v>151</v>
      </c>
      <c r="D14" s="82" t="s">
        <v>188</v>
      </c>
    </row>
    <row r="15" spans="2:11" s="69" customFormat="1">
      <c r="B15" s="83" t="b">
        <v>1</v>
      </c>
      <c r="C15" s="78" t="s">
        <v>220</v>
      </c>
      <c r="D15" s="142" t="s">
        <v>225</v>
      </c>
      <c r="E15" s="142"/>
      <c r="F15" s="142"/>
      <c r="G15" s="142"/>
    </row>
    <row r="16" spans="2:11" s="69" customFormat="1">
      <c r="B16" s="83" t="b">
        <v>0</v>
      </c>
      <c r="C16" s="78" t="s">
        <v>186</v>
      </c>
      <c r="D16" s="142" t="s">
        <v>223</v>
      </c>
      <c r="E16" s="142"/>
      <c r="F16" s="142"/>
      <c r="G16" s="142"/>
    </row>
    <row r="17" spans="2:7" s="69" customFormat="1">
      <c r="B17" s="83" t="b">
        <v>0</v>
      </c>
      <c r="C17" s="78" t="s">
        <v>187</v>
      </c>
      <c r="D17" s="142" t="s">
        <v>224</v>
      </c>
      <c r="E17" s="142"/>
      <c r="F17" s="142"/>
      <c r="G17" s="142"/>
    </row>
    <row r="18" spans="2:7" s="69" customFormat="1">
      <c r="B18" s="83" t="b">
        <v>1</v>
      </c>
      <c r="C18" s="78" t="s">
        <v>159</v>
      </c>
      <c r="D18" s="143"/>
      <c r="E18" s="144"/>
      <c r="F18" s="144"/>
      <c r="G18" s="144"/>
    </row>
    <row r="19" spans="2:7" s="69" customFormat="1"/>
    <row r="20" spans="2:7" s="69" customFormat="1" ht="15.75">
      <c r="B20" s="72" t="s">
        <v>155</v>
      </c>
      <c r="C20" s="70"/>
    </row>
    <row r="21" spans="2:7" s="69" customFormat="1">
      <c r="B21" s="79" t="b">
        <v>1</v>
      </c>
      <c r="C21" s="140" t="s">
        <v>219</v>
      </c>
      <c r="D21" s="141"/>
    </row>
    <row r="22" spans="2:7" s="69" customFormat="1">
      <c r="B22" s="84" t="str">
        <f>IF(OR(B18,B21),"","Warning no data will be saved after a measurement!!! Neither to summary or as a full sheet")</f>
        <v/>
      </c>
      <c r="C22" s="70"/>
    </row>
    <row r="23" spans="2:7" s="69" customFormat="1">
      <c r="B23" s="85"/>
      <c r="C23" s="70"/>
    </row>
    <row r="24" spans="2:7" s="69" customFormat="1" ht="15.75">
      <c r="B24" s="72"/>
      <c r="C24" s="70"/>
      <c r="D24" s="70"/>
    </row>
  </sheetData>
  <sheetProtection sheet="1" objects="1" scenarios="1" selectLockedCells="1"/>
  <mergeCells count="5">
    <mergeCell ref="C21:D21"/>
    <mergeCell ref="D15:G15"/>
    <mergeCell ref="D16:G16"/>
    <mergeCell ref="D17:G17"/>
    <mergeCell ref="D18:G18"/>
  </mergeCells>
  <dataValidations count="5">
    <dataValidation type="list" allowBlank="1" showInputMessage="1" showErrorMessage="1" sqref="C8">
      <formula1>ModeList</formula1>
    </dataValidation>
    <dataValidation type="whole" allowBlank="1" showInputMessage="1" showErrorMessage="1" errorTitle="Pulse Length Input Incorrect" error="The pulse length must be between 10000us and 100000us" sqref="F4">
      <formula1>10000</formula1>
      <formula2>100000</formula2>
    </dataValidation>
    <dataValidation type="list" allowBlank="1" showInputMessage="1" showErrorMessage="1" sqref="F5:F6">
      <formula1>VoltRangeList</formula1>
    </dataValidation>
    <dataValidation type="list" allowBlank="1" showInputMessage="1" showErrorMessage="1" sqref="B15:B18 F9 B21">
      <formula1>TF_List</formula1>
    </dataValidation>
    <dataValidation type="list" allowBlank="1" showInputMessage="1" showErrorMessage="1" sqref="C9">
      <formula1>OnOffList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
  <sheetViews>
    <sheetView workbookViewId="0"/>
  </sheetViews>
  <sheetFormatPr defaultRowHeight="12.75" customHeight="1"/>
  <cols>
    <col min="1" max="1" width="9.140625" style="86"/>
    <col min="2" max="2" width="10.140625" style="86" customWidth="1"/>
    <col min="3" max="3" width="11.85546875" style="86" customWidth="1"/>
    <col min="4" max="4" width="16.5703125" style="86" customWidth="1"/>
    <col min="5" max="9" width="9.140625" style="86"/>
    <col min="10" max="10" width="13" style="86" customWidth="1"/>
    <col min="11" max="11" width="9.140625" style="86"/>
    <col min="12" max="12" width="13.140625" style="86" customWidth="1"/>
    <col min="13" max="13" width="9.140625" style="86"/>
    <col min="14" max="15" width="11.28515625" style="86" customWidth="1"/>
    <col min="16" max="19" width="9.140625" style="86"/>
    <col min="20" max="20" width="10.7109375" style="86" customWidth="1"/>
    <col min="21" max="16384" width="9.140625" style="86"/>
  </cols>
  <sheetData>
    <row r="1" spans="1:20" s="91" customFormat="1" ht="51">
      <c r="A1" s="87" t="s">
        <v>49</v>
      </c>
      <c r="B1" s="88" t="s">
        <v>3</v>
      </c>
      <c r="C1" s="88" t="s">
        <v>23</v>
      </c>
      <c r="D1" s="89" t="s">
        <v>10</v>
      </c>
      <c r="E1" s="87" t="s">
        <v>6</v>
      </c>
      <c r="F1" s="90" t="s">
        <v>7</v>
      </c>
      <c r="G1" s="87" t="s">
        <v>4</v>
      </c>
      <c r="H1" s="87" t="s">
        <v>8</v>
      </c>
      <c r="I1" s="90" t="s">
        <v>9</v>
      </c>
      <c r="J1" s="87" t="s">
        <v>11</v>
      </c>
      <c r="K1" s="87" t="s">
        <v>66</v>
      </c>
      <c r="L1" s="89" t="s">
        <v>12</v>
      </c>
      <c r="M1" s="89" t="s">
        <v>5</v>
      </c>
      <c r="N1" s="89" t="s">
        <v>13</v>
      </c>
      <c r="O1" s="89" t="s">
        <v>20</v>
      </c>
      <c r="P1" s="89" t="s">
        <v>25</v>
      </c>
      <c r="Q1" s="89" t="s">
        <v>26</v>
      </c>
      <c r="R1" s="87" t="s">
        <v>0</v>
      </c>
      <c r="S1" s="87" t="s">
        <v>60</v>
      </c>
      <c r="T1" s="87" t="s">
        <v>191</v>
      </c>
    </row>
    <row r="2" spans="1:20">
      <c r="A2" s="92" t="str">
        <f>SampleNameUserSheet</f>
        <v>remeasure YM18-w15-4a</v>
      </c>
      <c r="B2" s="93">
        <f>MeasDate</f>
        <v>42206</v>
      </c>
      <c r="C2" s="94">
        <f>MeasTime</f>
        <v>0.48884259259259261</v>
      </c>
      <c r="D2" s="95">
        <f>Pseudo_Efficiency</f>
        <v>18.585671299158463</v>
      </c>
      <c r="E2" s="96">
        <f>Voc</f>
        <v>0.63345187365687061</v>
      </c>
      <c r="F2" s="96">
        <f>Vmp</f>
        <v>0.53398950859999994</v>
      </c>
      <c r="G2" s="96">
        <f>Jsc</f>
        <v>3.9102999999999999E-2</v>
      </c>
      <c r="H2" s="97">
        <f>Jmp</f>
        <v>3.4805311714617579E-2</v>
      </c>
      <c r="I2" s="98">
        <f>PFF</f>
        <v>0.75033386682760994</v>
      </c>
      <c r="J2" s="99">
        <f>Apparent_Rs</f>
        <v>0.92141873300476862</v>
      </c>
      <c r="K2" s="95">
        <f>Rshunt</f>
        <v>558.86737473887933</v>
      </c>
      <c r="L2" s="100">
        <f>Rshunt</f>
        <v>558.86737473887933</v>
      </c>
      <c r="M2" s="99">
        <f>eta_1sun</f>
        <v>1.3413448673507613</v>
      </c>
      <c r="N2" s="99">
        <f>eta_0_1sun</f>
        <v>2.9355649513999564</v>
      </c>
      <c r="O2" s="101">
        <f>Voc_0_1suns</f>
        <v>0.52654587842877532</v>
      </c>
      <c r="P2" s="102">
        <f>Jo_1</f>
        <v>3.2967101448967979E-13</v>
      </c>
      <c r="Q2" s="102">
        <f>Jo_2</f>
        <v>9.4844862708930474E-8</v>
      </c>
      <c r="R2" s="100">
        <f>RefCellCal</f>
        <v>0.10713860018936346</v>
      </c>
      <c r="S2" s="86">
        <f>Temp</f>
        <v>23.448412999999999</v>
      </c>
      <c r="T2" s="103" t="str">
        <f>SerialNumber</f>
        <v>13-128197</v>
      </c>
    </row>
    <row r="3" spans="1:20">
      <c r="A3" s="104" t="s">
        <v>189</v>
      </c>
    </row>
    <row r="4" spans="1:20">
      <c r="A4" s="104"/>
    </row>
    <row r="5" spans="1:20">
      <c r="A5" s="104"/>
    </row>
    <row r="8" spans="1:20">
      <c r="A8" s="86" t="s">
        <v>190</v>
      </c>
      <c r="O8" s="105"/>
    </row>
    <row r="9" spans="1:20">
      <c r="A9" s="86" t="s">
        <v>48</v>
      </c>
      <c r="O9" s="105"/>
    </row>
    <row r="10" spans="1:20">
      <c r="A10" s="87" t="s">
        <v>49</v>
      </c>
      <c r="B10" s="88" t="s">
        <v>3</v>
      </c>
      <c r="C10" s="106" t="s">
        <v>23</v>
      </c>
      <c r="D10" s="89" t="s">
        <v>51</v>
      </c>
      <c r="E10" s="87" t="s">
        <v>6</v>
      </c>
      <c r="F10" s="90" t="s">
        <v>7</v>
      </c>
      <c r="G10" s="87" t="s">
        <v>4</v>
      </c>
      <c r="H10" s="87" t="s">
        <v>8</v>
      </c>
      <c r="I10" s="90" t="s">
        <v>9</v>
      </c>
      <c r="J10" s="87" t="s">
        <v>52</v>
      </c>
      <c r="K10" s="87" t="s">
        <v>67</v>
      </c>
      <c r="L10" s="89" t="s">
        <v>53</v>
      </c>
      <c r="M10" s="89" t="s">
        <v>54</v>
      </c>
      <c r="N10" s="89" t="s">
        <v>55</v>
      </c>
      <c r="O10" s="89" t="s">
        <v>56</v>
      </c>
      <c r="P10" s="89" t="s">
        <v>57</v>
      </c>
      <c r="Q10" s="89" t="s">
        <v>58</v>
      </c>
      <c r="R10" s="87" t="s">
        <v>50</v>
      </c>
      <c r="S10" s="87" t="s">
        <v>61</v>
      </c>
      <c r="T10" s="107" t="s">
        <v>192</v>
      </c>
    </row>
  </sheetData>
  <phoneticPr fontId="0" type="noConversion"/>
  <pageMargins left="0.75" right="0.75" top="1" bottom="1" header="0.5" footer="0.5"/>
  <pageSetup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26"/>
  <sheetViews>
    <sheetView workbookViewId="0">
      <selection activeCell="F13" sqref="F13"/>
    </sheetView>
  </sheetViews>
  <sheetFormatPr defaultRowHeight="12.75" customHeight="1"/>
  <cols>
    <col min="1" max="1" width="9.140625" style="14"/>
    <col min="2" max="2" width="15.5703125" style="14" customWidth="1"/>
    <col min="3" max="3" width="14.85546875" style="14" customWidth="1"/>
    <col min="4" max="4" width="9.140625" style="14"/>
    <col min="5" max="5" width="18.7109375" style="14" customWidth="1"/>
    <col min="6" max="16" width="9.140625" style="14"/>
    <col min="17" max="17" width="20.42578125" style="14" customWidth="1"/>
    <col min="18" max="16384" width="9.140625" style="14"/>
  </cols>
  <sheetData>
    <row r="1" spans="2:17" s="6" customFormat="1" ht="12.75" customHeight="1"/>
    <row r="2" spans="2:17" s="6" customFormat="1" ht="12.75" customHeight="1">
      <c r="B2" s="1" t="s">
        <v>160</v>
      </c>
      <c r="C2" s="1"/>
    </row>
    <row r="3" spans="2:17" s="6" customFormat="1" ht="12.75" customHeight="1">
      <c r="B3" s="4" t="s">
        <v>158</v>
      </c>
      <c r="C3" s="1"/>
      <c r="J3" s="13"/>
    </row>
    <row r="4" spans="2:17" s="6" customFormat="1" ht="12.75" customHeight="1">
      <c r="B4" s="5" t="s">
        <v>90</v>
      </c>
      <c r="C4" s="1"/>
      <c r="E4" s="10" t="s">
        <v>183</v>
      </c>
      <c r="F4" s="10" t="s">
        <v>184</v>
      </c>
      <c r="G4" s="10" t="s">
        <v>185</v>
      </c>
      <c r="J4" s="13"/>
      <c r="L4" s="13"/>
    </row>
    <row r="5" spans="2:17" s="6" customFormat="1" ht="12.75" customHeight="1">
      <c r="B5" s="5" t="s">
        <v>162</v>
      </c>
      <c r="C5" s="1"/>
      <c r="E5" s="6" t="s">
        <v>34</v>
      </c>
      <c r="F5" s="7">
        <f>VLOOKUP(PCGainSetting,Command!B19:C26,2,FALSE)</f>
        <v>10</v>
      </c>
      <c r="G5" s="6" t="str">
        <f>" /"&amp;E5&amp;"="&amp;F5</f>
        <v xml:space="preserve"> /refgain=10</v>
      </c>
      <c r="I5" s="13"/>
    </row>
    <row r="6" spans="2:17" s="6" customFormat="1" ht="12.75" customHeight="1">
      <c r="B6" s="2"/>
      <c r="C6" s="1"/>
      <c r="D6" s="7"/>
      <c r="E6" s="6" t="s">
        <v>32</v>
      </c>
      <c r="F6" s="7">
        <f>VLOOKUP(RefGainSetting,Command!B19:C26,2,FALSE)</f>
        <v>10</v>
      </c>
      <c r="G6" s="6" t="str">
        <f t="shared" ref="G6:G10" si="0">" /"&amp;E6&amp;"="&amp;F6</f>
        <v xml:space="preserve"> /pcgain=10</v>
      </c>
    </row>
    <row r="7" spans="2:17" s="6" customFormat="1" ht="12.75" customHeight="1">
      <c r="B7" s="4" t="s">
        <v>161</v>
      </c>
      <c r="C7" s="1"/>
      <c r="D7" s="7"/>
      <c r="E7" s="13" t="s">
        <v>33</v>
      </c>
      <c r="F7" s="7">
        <f>PulseLength</f>
        <v>13000</v>
      </c>
      <c r="G7" s="6" t="str">
        <f t="shared" si="0"/>
        <v xml:space="preserve"> /pulselength=13000</v>
      </c>
      <c r="H7" s="8"/>
    </row>
    <row r="8" spans="2:17" s="6" customFormat="1" ht="12.75" customHeight="1">
      <c r="B8" s="5" t="b">
        <v>1</v>
      </c>
      <c r="C8" s="1"/>
      <c r="D8" s="7"/>
      <c r="E8" s="6" t="s">
        <v>35</v>
      </c>
      <c r="F8" s="7">
        <v>2</v>
      </c>
      <c r="G8" s="6" t="str">
        <f t="shared" si="0"/>
        <v xml:space="preserve"> /basegain=2</v>
      </c>
    </row>
    <row r="9" spans="2:17" s="6" customFormat="1" ht="12.75" customHeight="1">
      <c r="B9" s="5" t="b">
        <v>0</v>
      </c>
      <c r="C9" s="1"/>
      <c r="D9" s="7"/>
      <c r="E9" s="13" t="s">
        <v>36</v>
      </c>
      <c r="F9" s="7">
        <v>125</v>
      </c>
      <c r="G9" s="6" t="str">
        <f t="shared" si="0"/>
        <v xml:space="preserve"> /xfer=125</v>
      </c>
    </row>
    <row r="10" spans="2:17" s="6" customFormat="1" ht="12.75" customHeight="1">
      <c r="B10" s="2"/>
      <c r="C10" s="1"/>
      <c r="D10" s="7"/>
      <c r="E10" s="6" t="s">
        <v>255</v>
      </c>
      <c r="F10" s="7">
        <f>PulseLength</f>
        <v>13000</v>
      </c>
      <c r="G10" s="6" t="str">
        <f t="shared" si="0"/>
        <v xml:space="preserve"> /cutoff=13000</v>
      </c>
      <c r="H10" s="1"/>
      <c r="I10" s="1"/>
    </row>
    <row r="11" spans="2:17" s="6" customFormat="1" ht="12.75" customHeight="1">
      <c r="B11" s="4" t="s">
        <v>143</v>
      </c>
      <c r="C11" s="1"/>
      <c r="E11" s="6" t="s">
        <v>31</v>
      </c>
      <c r="F11" s="147" t="s">
        <v>226</v>
      </c>
      <c r="G11" s="147"/>
      <c r="H11" s="147"/>
      <c r="I11" s="147"/>
      <c r="J11" s="147"/>
      <c r="K11" s="147"/>
      <c r="L11" s="147"/>
      <c r="M11" s="147"/>
      <c r="N11" s="147"/>
      <c r="O11" s="147"/>
      <c r="P11" s="147"/>
      <c r="Q11" s="147"/>
    </row>
    <row r="12" spans="2:17" s="6" customFormat="1" ht="12.75" customHeight="1">
      <c r="B12" s="5" t="s">
        <v>63</v>
      </c>
      <c r="C12" s="1"/>
      <c r="E12" s="11" t="s">
        <v>169</v>
      </c>
      <c r="F12" s="145" t="str">
        <f>F11&amp;" /"&amp;E6&amp;"="&amp;F6&amp;" /"&amp;E7&amp;"="&amp;F7&amp;" /"&amp;E5&amp;"="&amp;F5&amp;" /"&amp;E8&amp;"="&amp;F8&amp;" /"&amp;E9&amp;"="&amp;F9&amp;G10</f>
        <v>C:\lifetime\lifetime.exe /subbase=0 /numflashes=1 /pcgain=10 /pulselength=13000 /refgain=10 /basegain=2 /xfer=125 /cutoff=13000</v>
      </c>
      <c r="G12" s="145"/>
      <c r="H12" s="145"/>
      <c r="I12" s="145"/>
      <c r="J12" s="145"/>
      <c r="K12" s="145"/>
      <c r="L12" s="145"/>
      <c r="M12" s="145"/>
      <c r="N12" s="145"/>
      <c r="O12" s="145"/>
      <c r="P12" s="145"/>
      <c r="Q12" s="145"/>
    </row>
    <row r="13" spans="2:17" s="6" customFormat="1" ht="12.75" customHeight="1">
      <c r="B13" s="5" t="s">
        <v>149</v>
      </c>
      <c r="C13" s="1"/>
    </row>
    <row r="14" spans="2:17" s="6" customFormat="1" ht="12.75" customHeight="1">
      <c r="B14" s="1"/>
      <c r="C14" s="1"/>
      <c r="E14" s="12" t="s">
        <v>137</v>
      </c>
      <c r="F14" s="146" t="s">
        <v>227</v>
      </c>
      <c r="G14" s="146"/>
      <c r="H14" s="146"/>
      <c r="I14" s="146"/>
      <c r="J14" s="146"/>
      <c r="K14" s="146"/>
      <c r="L14" s="146"/>
      <c r="M14" s="146"/>
      <c r="N14" s="146"/>
      <c r="O14" s="146"/>
      <c r="P14" s="146"/>
    </row>
    <row r="15" spans="2:17" s="6" customFormat="1" ht="12.75" customHeight="1">
      <c r="B15" s="9" t="s">
        <v>234</v>
      </c>
      <c r="D15" s="3"/>
      <c r="E15" s="1"/>
      <c r="F15" s="1"/>
      <c r="G15" s="1"/>
      <c r="H15" s="1"/>
      <c r="I15" s="1"/>
    </row>
    <row r="16" spans="2:17" s="6" customFormat="1" ht="12.75" customHeight="1">
      <c r="B16" s="9" t="s">
        <v>235</v>
      </c>
      <c r="D16" s="1"/>
      <c r="G16" s="1"/>
      <c r="H16" s="1"/>
      <c r="I16" s="1"/>
    </row>
    <row r="17" spans="2:12" s="6" customFormat="1" ht="12.75" customHeight="1">
      <c r="D17" s="1"/>
      <c r="E17" s="1"/>
      <c r="F17" s="1"/>
      <c r="G17" s="1"/>
      <c r="H17" s="1"/>
      <c r="I17" s="1"/>
    </row>
    <row r="18" spans="2:12" s="6" customFormat="1" ht="12.75" customHeight="1">
      <c r="B18" s="4" t="s">
        <v>172</v>
      </c>
      <c r="C18" s="5" t="s">
        <v>178</v>
      </c>
      <c r="D18" s="1"/>
      <c r="E18" s="1"/>
      <c r="F18" s="1"/>
      <c r="G18" s="1"/>
    </row>
    <row r="19" spans="2:12" s="6" customFormat="1" ht="12.75" customHeight="1">
      <c r="B19" s="5" t="s">
        <v>173</v>
      </c>
      <c r="C19" s="5">
        <v>50</v>
      </c>
      <c r="D19" s="1"/>
      <c r="E19" s="1"/>
      <c r="F19" s="1"/>
      <c r="G19" s="1"/>
    </row>
    <row r="20" spans="2:12" s="6" customFormat="1" ht="12.75" customHeight="1">
      <c r="B20" s="5" t="s">
        <v>174</v>
      </c>
      <c r="C20" s="5">
        <v>20</v>
      </c>
      <c r="D20" s="1"/>
      <c r="E20" s="1"/>
      <c r="F20" s="1"/>
      <c r="G20" s="1"/>
      <c r="H20" s="1"/>
      <c r="I20" s="1"/>
      <c r="J20" s="1"/>
      <c r="K20" s="1"/>
      <c r="L20" s="1"/>
    </row>
    <row r="21" spans="2:12" s="6" customFormat="1" ht="12.75" customHeight="1">
      <c r="B21" s="5" t="s">
        <v>175</v>
      </c>
      <c r="C21" s="5">
        <v>10</v>
      </c>
      <c r="D21" s="1"/>
      <c r="E21" s="1"/>
      <c r="F21" s="1"/>
      <c r="G21" s="1"/>
      <c r="H21" s="1"/>
      <c r="I21" s="1"/>
      <c r="J21" s="1"/>
      <c r="K21" s="1"/>
      <c r="L21" s="1"/>
    </row>
    <row r="22" spans="2:12" s="6" customFormat="1" ht="12.75" customHeight="1">
      <c r="B22" s="5" t="s">
        <v>176</v>
      </c>
      <c r="C22" s="9">
        <v>5</v>
      </c>
      <c r="D22" s="1"/>
      <c r="E22" s="1"/>
      <c r="F22" s="1"/>
      <c r="G22" s="1"/>
      <c r="H22" s="1"/>
      <c r="I22" s="1"/>
      <c r="J22" s="1"/>
      <c r="K22" s="1"/>
      <c r="L22" s="1"/>
    </row>
    <row r="23" spans="2:12" s="6" customFormat="1" ht="12.75" customHeight="1">
      <c r="B23" s="5" t="s">
        <v>177</v>
      </c>
      <c r="C23" s="9">
        <v>2</v>
      </c>
      <c r="D23" s="1"/>
      <c r="E23" s="1"/>
      <c r="F23" s="1"/>
      <c r="G23" s="1"/>
      <c r="H23" s="1"/>
      <c r="I23" s="1"/>
      <c r="J23" s="1"/>
      <c r="K23" s="1"/>
      <c r="L23" s="1"/>
    </row>
    <row r="24" spans="2:12" s="6" customFormat="1" ht="12.75" customHeight="1">
      <c r="B24" s="5" t="s">
        <v>179</v>
      </c>
      <c r="C24" s="9">
        <v>1</v>
      </c>
      <c r="D24" s="1"/>
      <c r="E24" s="1"/>
      <c r="F24" s="1"/>
      <c r="G24" s="1"/>
      <c r="H24" s="1"/>
      <c r="I24" s="1"/>
      <c r="J24" s="1"/>
      <c r="K24" s="1"/>
      <c r="L24" s="1"/>
    </row>
    <row r="25" spans="2:12" s="6" customFormat="1" ht="12.75" customHeight="1">
      <c r="B25" s="5" t="s">
        <v>180</v>
      </c>
      <c r="C25" s="9">
        <v>-2</v>
      </c>
      <c r="D25" s="1"/>
      <c r="E25" s="1"/>
      <c r="F25" s="1"/>
      <c r="G25" s="1"/>
      <c r="H25" s="1"/>
      <c r="I25" s="1"/>
      <c r="J25" s="1"/>
      <c r="K25" s="1"/>
      <c r="L25" s="1"/>
    </row>
    <row r="26" spans="2:12" s="6" customFormat="1" ht="12.75" customHeight="1">
      <c r="B26" s="5" t="s">
        <v>181</v>
      </c>
      <c r="C26" s="9">
        <v>-1</v>
      </c>
      <c r="D26" s="1"/>
      <c r="E26" s="1"/>
      <c r="F26" s="1"/>
      <c r="G26" s="1"/>
      <c r="H26" s="1"/>
      <c r="I26" s="1"/>
      <c r="J26" s="1"/>
      <c r="K26" s="1"/>
      <c r="L26" s="1"/>
    </row>
  </sheetData>
  <mergeCells count="3">
    <mergeCell ref="F12:Q12"/>
    <mergeCell ref="F14:P14"/>
    <mergeCell ref="F11:Q11"/>
  </mergeCells>
  <phoneticPr fontId="4"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6"/>
  <sheetViews>
    <sheetView workbookViewId="0"/>
  </sheetViews>
  <sheetFormatPr defaultRowHeight="12.75" customHeight="1"/>
  <cols>
    <col min="1" max="1" width="9.140625" style="68"/>
    <col min="2" max="2" width="12.7109375" style="68" customWidth="1"/>
    <col min="3" max="3" width="12.28515625" style="68" customWidth="1"/>
    <col min="4" max="4" width="9.140625" style="68"/>
    <col min="5" max="5" width="11.5703125" style="68" customWidth="1"/>
    <col min="6" max="6" width="10.28515625" style="68" customWidth="1"/>
    <col min="7" max="7" width="11.140625" style="68" customWidth="1"/>
    <col min="8" max="8" width="9.140625" style="68"/>
    <col min="9" max="9" width="10" style="68" customWidth="1"/>
    <col min="10" max="10" width="14.42578125" style="68" customWidth="1"/>
    <col min="11" max="16384" width="9.140625" style="68"/>
  </cols>
  <sheetData>
    <row r="1" spans="1:18" ht="38.25">
      <c r="A1" s="108" t="s">
        <v>37</v>
      </c>
      <c r="B1" s="108" t="s">
        <v>38</v>
      </c>
      <c r="C1" s="108" t="s">
        <v>39</v>
      </c>
      <c r="D1" s="108" t="s">
        <v>1</v>
      </c>
      <c r="E1" s="108" t="s">
        <v>64</v>
      </c>
      <c r="F1" s="108" t="s">
        <v>228</v>
      </c>
      <c r="G1" s="108" t="s">
        <v>229</v>
      </c>
      <c r="H1" s="108" t="s">
        <v>230</v>
      </c>
      <c r="I1" s="108" t="s">
        <v>231</v>
      </c>
      <c r="J1" s="108" t="s">
        <v>232</v>
      </c>
      <c r="K1" s="109"/>
      <c r="L1" s="109"/>
      <c r="M1" s="109"/>
      <c r="N1" s="109"/>
      <c r="O1" s="109"/>
      <c r="P1" s="109"/>
      <c r="Q1" s="109"/>
      <c r="R1" s="109"/>
    </row>
    <row r="2" spans="1:18">
      <c r="A2" s="110">
        <f>Calc!A9</f>
        <v>5.1999999999999997E-5</v>
      </c>
      <c r="B2" s="110">
        <f>Calc!B9</f>
        <v>0.65990499999999996</v>
      </c>
      <c r="C2" s="110">
        <f>Calc!C9</f>
        <v>0.35975099999999999</v>
      </c>
      <c r="D2" s="111">
        <f>Calc!J9</f>
        <v>3.3578094110260315</v>
      </c>
      <c r="E2" s="111">
        <f>Calc!L9</f>
        <v>3.3578094110260315</v>
      </c>
      <c r="F2" s="112">
        <f>Calc!D9</f>
        <v>0.65649150859999994</v>
      </c>
      <c r="G2" s="110">
        <f>Calc!U9</f>
        <v>-9.2197421399350901E-2</v>
      </c>
      <c r="H2" s="110">
        <f>Calc!X9</f>
        <v>-6.0526824263489792E-2</v>
      </c>
      <c r="I2" s="110">
        <f>Calc!H9</f>
        <v>1109870879031804</v>
      </c>
      <c r="J2" s="110">
        <f>Calc!O9</f>
        <v>0</v>
      </c>
    </row>
    <row r="3" spans="1:18">
      <c r="A3" s="110">
        <f>Calc!A10</f>
        <v>1.56E-4</v>
      </c>
      <c r="B3" s="110">
        <f>Calc!B10</f>
        <v>0.68849000000000005</v>
      </c>
      <c r="C3" s="110">
        <f>Calc!C10</f>
        <v>0.52784699999999996</v>
      </c>
      <c r="D3" s="111">
        <f>Calc!J10</f>
        <v>4.9267677481976637</v>
      </c>
      <c r="E3" s="111">
        <f>Calc!L10</f>
        <v>3.1973743285247775</v>
      </c>
      <c r="F3" s="112">
        <f>Calc!D10</f>
        <v>0.68507650860000002</v>
      </c>
      <c r="G3" s="110">
        <f>Calc!U10</f>
        <v>-8.592392836830437E-2</v>
      </c>
      <c r="H3" s="110">
        <f>Calc!X10</f>
        <v>-5.8864464851754457E-2</v>
      </c>
      <c r="I3" s="110">
        <f>Calc!H10</f>
        <v>2805346977472531</v>
      </c>
      <c r="J3" s="110">
        <f>Calc!O10</f>
        <v>6.4709177798055961E-5</v>
      </c>
    </row>
    <row r="4" spans="1:18">
      <c r="A4" s="110">
        <f>Calc!A11</f>
        <v>2.5999999999999998E-4</v>
      </c>
      <c r="B4" s="110">
        <f>Calc!B11</f>
        <v>0.69331799999999999</v>
      </c>
      <c r="C4" s="110">
        <f>Calc!C11</f>
        <v>0.56629600000000002</v>
      </c>
      <c r="D4" s="111">
        <f>Calc!J11</f>
        <v>5.285639340061314</v>
      </c>
      <c r="E4" s="111">
        <f>Calc!L11</f>
        <v>4.9556978577841404</v>
      </c>
      <c r="F4" s="112">
        <f>Calc!D11</f>
        <v>0.68990450859999997</v>
      </c>
      <c r="G4" s="110">
        <f>Calc!U11</f>
        <v>-0.15467965333293324</v>
      </c>
      <c r="H4" s="110">
        <f>Calc!X11</f>
        <v>-0.10671419022307566</v>
      </c>
      <c r="I4" s="110">
        <f>Calc!H11</f>
        <v>3243516617956357</v>
      </c>
      <c r="J4" s="110">
        <f>Calc!O11</f>
        <v>4.8270754621154081E-5</v>
      </c>
    </row>
    <row r="5" spans="1:18">
      <c r="A5" s="110">
        <f>Calc!A12</f>
        <v>3.6400000000000001E-4</v>
      </c>
      <c r="B5" s="110">
        <f>Calc!B12</f>
        <v>0.69414299999999995</v>
      </c>
      <c r="C5" s="110">
        <f>Calc!C12</f>
        <v>0.58404500000000004</v>
      </c>
      <c r="D5" s="111">
        <f>Calc!J12</f>
        <v>5.4513032554814274</v>
      </c>
      <c r="E5" s="111">
        <f>Calc!L12</f>
        <v>5.3937581703769926</v>
      </c>
      <c r="F5" s="112">
        <f>Calc!D12</f>
        <v>0.69072950859999993</v>
      </c>
      <c r="G5" s="110">
        <f>Calc!U12</f>
        <v>-0.17180912573625154</v>
      </c>
      <c r="H5" s="110">
        <f>Calc!X12</f>
        <v>-0.11867363299279662</v>
      </c>
      <c r="I5" s="110">
        <f>Calc!H12</f>
        <v>3323839219660405</v>
      </c>
      <c r="J5" s="110">
        <f>Calc!O12</f>
        <v>4.5448684594559599E-5</v>
      </c>
    </row>
    <row r="6" spans="1:18">
      <c r="A6" s="110">
        <f>Calc!A13</f>
        <v>4.6799999999999999E-4</v>
      </c>
      <c r="B6" s="110">
        <f>Calc!B13</f>
        <v>0.69291000000000003</v>
      </c>
      <c r="C6" s="110">
        <f>Calc!C13</f>
        <v>0.584538</v>
      </c>
      <c r="D6" s="111">
        <f>Calc!J13</f>
        <v>5.4559047716402027</v>
      </c>
      <c r="E6" s="111">
        <f>Calc!L13</f>
        <v>5.5393155814888644</v>
      </c>
      <c r="F6" s="112">
        <f>Calc!D13</f>
        <v>0.6894965086</v>
      </c>
      <c r="G6" s="110">
        <f>Calc!U13</f>
        <v>-0.17750085718295905</v>
      </c>
      <c r="H6" s="110">
        <f>Calc!X13</f>
        <v>-0.12238622130115749</v>
      </c>
      <c r="I6" s="110">
        <f>Calc!H13</f>
        <v>3204397597994894</v>
      </c>
      <c r="J6" s="110">
        <f>Calc!O13</f>
        <v>4.2664147332825488E-5</v>
      </c>
    </row>
    <row r="7" spans="1:18">
      <c r="A7" s="110">
        <f>Calc!A14</f>
        <v>5.7200000000000003E-4</v>
      </c>
      <c r="B7" s="110">
        <f>Calc!B14</f>
        <v>0.69132099999999996</v>
      </c>
      <c r="C7" s="110">
        <f>Calc!C14</f>
        <v>0.575932</v>
      </c>
      <c r="D7" s="111">
        <f>Calc!J14</f>
        <v>5.3755789135014069</v>
      </c>
      <c r="E7" s="111">
        <f>Calc!L14</f>
        <v>5.4788789143198473</v>
      </c>
      <c r="F7" s="112">
        <f>Calc!D14</f>
        <v>0.68790750859999994</v>
      </c>
      <c r="G7" s="110">
        <f>Calc!U14</f>
        <v>-0.17513760218664898</v>
      </c>
      <c r="H7" s="110">
        <f>Calc!X14</f>
        <v>-0.12047847158239559</v>
      </c>
      <c r="I7" s="110">
        <f>Calc!H14</f>
        <v>3055788596464850</v>
      </c>
      <c r="J7" s="110">
        <f>Calc!O14</f>
        <v>4.1134325890383774E-5</v>
      </c>
    </row>
    <row r="8" spans="1:18">
      <c r="A8" s="110">
        <f>Calc!A15</f>
        <v>6.7599999999999995E-4</v>
      </c>
      <c r="B8" s="110">
        <f>Calc!B15</f>
        <v>0.68964700000000001</v>
      </c>
      <c r="C8" s="110">
        <f>Calc!C15</f>
        <v>0.56088099999999996</v>
      </c>
      <c r="D8" s="111">
        <f>Calc!J15</f>
        <v>5.2350973319481851</v>
      </c>
      <c r="E8" s="111">
        <f>Calc!L15</f>
        <v>5.3394102917205926</v>
      </c>
      <c r="F8" s="112">
        <f>Calc!D15</f>
        <v>0.68623350859999999</v>
      </c>
      <c r="G8" s="110">
        <f>Calc!U15</f>
        <v>-0.16968396063715033</v>
      </c>
      <c r="H8" s="110">
        <f>Calc!X15</f>
        <v>-0.11644281966117596</v>
      </c>
      <c r="I8" s="110">
        <f>Calc!H15</f>
        <v>2905528305938229</v>
      </c>
      <c r="J8" s="110">
        <f>Calc!O15</f>
        <v>4.0133274682413029E-5</v>
      </c>
    </row>
    <row r="9" spans="1:18">
      <c r="A9" s="110">
        <f>Calc!A16</f>
        <v>7.7999999999999999E-4</v>
      </c>
      <c r="B9" s="110">
        <f>Calc!B16</f>
        <v>0.68795600000000001</v>
      </c>
      <c r="C9" s="110">
        <f>Calc!C16</f>
        <v>0.53958700000000004</v>
      </c>
      <c r="D9" s="111">
        <f>Calc!J16</f>
        <v>5.0363454352240957</v>
      </c>
      <c r="E9" s="111">
        <f>Calc!L16</f>
        <v>5.1372583903911986</v>
      </c>
      <c r="F9" s="112">
        <f>Calc!D16</f>
        <v>0.68454250859999999</v>
      </c>
      <c r="G9" s="110">
        <f>Calc!U16</f>
        <v>-0.16177921483946703</v>
      </c>
      <c r="H9" s="110">
        <f>Calc!X16</f>
        <v>-0.1107447495655471</v>
      </c>
      <c r="I9" s="110">
        <f>Calc!H16</f>
        <v>2760100333390812</v>
      </c>
      <c r="J9" s="110">
        <f>Calc!O16</f>
        <v>3.9624723109591308E-5</v>
      </c>
    </row>
    <row r="10" spans="1:18">
      <c r="A10" s="110">
        <f>Calc!A17</f>
        <v>8.8400000000000002E-4</v>
      </c>
      <c r="B10" s="110">
        <f>Calc!B17</f>
        <v>0.68624300000000005</v>
      </c>
      <c r="C10" s="110">
        <f>Calc!C17</f>
        <v>0.51190100000000005</v>
      </c>
      <c r="D10" s="111">
        <f>Calc!J17</f>
        <v>4.7779325014069087</v>
      </c>
      <c r="E10" s="111">
        <f>Calc!L17</f>
        <v>4.8757300081088326</v>
      </c>
      <c r="F10" s="112">
        <f>Calc!D17</f>
        <v>0.68282950860000002</v>
      </c>
      <c r="G10" s="110">
        <f>Calc!U17</f>
        <v>-0.15155267050707968</v>
      </c>
      <c r="H10" s="110">
        <f>Calc!X17</f>
        <v>-0.10348463552936693</v>
      </c>
      <c r="I10" s="110">
        <f>Calc!H17</f>
        <v>2619087701491164</v>
      </c>
      <c r="J10" s="110">
        <f>Calc!O17</f>
        <v>3.961714487068222E-5</v>
      </c>
    </row>
    <row r="11" spans="1:18">
      <c r="A11" s="110">
        <f>Calc!A18</f>
        <v>9.8799999999999995E-4</v>
      </c>
      <c r="B11" s="110">
        <f>Calc!B18</f>
        <v>0.68450599999999995</v>
      </c>
      <c r="C11" s="110">
        <f>Calc!C18</f>
        <v>0.480215</v>
      </c>
      <c r="D11" s="111">
        <f>Calc!J18</f>
        <v>4.4821847508856569</v>
      </c>
      <c r="E11" s="111">
        <f>Calc!L18</f>
        <v>4.576949766493227</v>
      </c>
      <c r="F11" s="112">
        <f>Calc!D18</f>
        <v>0.68109250859999992</v>
      </c>
      <c r="G11" s="110">
        <f>Calc!U18</f>
        <v>-0.13986946671918465</v>
      </c>
      <c r="H11" s="110">
        <f>Calc!X18</f>
        <v>-9.5264045964313676E-2</v>
      </c>
      <c r="I11" s="110">
        <f>Calc!H18</f>
        <v>2482369712651289</v>
      </c>
      <c r="J11" s="110">
        <f>Calc!O18</f>
        <v>4.0000286219467543E-5</v>
      </c>
    </row>
    <row r="12" spans="1:18">
      <c r="A12" s="110">
        <f>Calc!A19</f>
        <v>1.0920000000000001E-3</v>
      </c>
      <c r="B12" s="110">
        <f>Calc!B19</f>
        <v>0.68271300000000001</v>
      </c>
      <c r="C12" s="110">
        <f>Calc!C19</f>
        <v>0.44894899999999999</v>
      </c>
      <c r="D12" s="111">
        <f>Calc!J19</f>
        <v>4.1903571561183313</v>
      </c>
      <c r="E12" s="111">
        <f>Calc!L19</f>
        <v>4.283646769811547</v>
      </c>
      <c r="F12" s="112">
        <f>Calc!D19</f>
        <v>0.67929950859999999</v>
      </c>
      <c r="G12" s="110">
        <f>Calc!U19</f>
        <v>-0.12840043963994091</v>
      </c>
      <c r="H12" s="110">
        <f>Calc!X19</f>
        <v>-8.7222355551435815E-2</v>
      </c>
      <c r="I12" s="110">
        <f>Calc!H19</f>
        <v>2347643396890770</v>
      </c>
      <c r="J12" s="110">
        <f>Calc!O19</f>
        <v>4.0419529922489828E-5</v>
      </c>
    </row>
    <row r="13" spans="1:18">
      <c r="A13" s="110">
        <f>Calc!A20</f>
        <v>1.196E-3</v>
      </c>
      <c r="B13" s="110">
        <f>Calc!B20</f>
        <v>0.68091400000000002</v>
      </c>
      <c r="C13" s="110">
        <f>Calc!C20</f>
        <v>0.42087000000000002</v>
      </c>
      <c r="D13" s="111">
        <f>Calc!J20</f>
        <v>3.9282760765599707</v>
      </c>
      <c r="E13" s="111">
        <f>Calc!L20</f>
        <v>4.0174777746246502</v>
      </c>
      <c r="F13" s="112">
        <f>Calc!D20</f>
        <v>0.6775005086</v>
      </c>
      <c r="G13" s="110">
        <f>Calc!U20</f>
        <v>-0.11799243342114769</v>
      </c>
      <c r="H13" s="110">
        <f>Calc!X20</f>
        <v>-7.9939933653779202E-2</v>
      </c>
      <c r="I13" s="110">
        <f>Calc!H20</f>
        <v>2218773359968956</v>
      </c>
      <c r="J13" s="110">
        <f>Calc!O20</f>
        <v>4.0731672295206681E-5</v>
      </c>
    </row>
    <row r="14" spans="1:18">
      <c r="A14" s="110">
        <f>Calc!A21</f>
        <v>1.2999999999999999E-3</v>
      </c>
      <c r="B14" s="110">
        <f>Calc!B21</f>
        <v>0.67910300000000001</v>
      </c>
      <c r="C14" s="110">
        <f>Calc!C21</f>
        <v>0.39517000000000002</v>
      </c>
      <c r="D14" s="111">
        <f>Calc!J21</f>
        <v>3.6883998792363526</v>
      </c>
      <c r="E14" s="111">
        <f>Calc!L21</f>
        <v>3.7738978230815015</v>
      </c>
      <c r="F14" s="112">
        <f>Calc!D21</f>
        <v>0.67568950859999999</v>
      </c>
      <c r="G14" s="110">
        <f>Calc!U21</f>
        <v>-0.10846772657595595</v>
      </c>
      <c r="H14" s="110">
        <f>Calc!X21</f>
        <v>-7.3290504869066839E-2</v>
      </c>
      <c r="I14" s="110">
        <f>Calc!H21</f>
        <v>2095197520940498</v>
      </c>
      <c r="J14" s="110">
        <f>Calc!O21</f>
        <v>4.094563540350082E-5</v>
      </c>
    </row>
    <row r="15" spans="1:18">
      <c r="A15" s="110">
        <f>Calc!A22</f>
        <v>1.4040000000000001E-3</v>
      </c>
      <c r="B15" s="110">
        <f>Calc!B22</f>
        <v>0.67731300000000005</v>
      </c>
      <c r="C15" s="110">
        <f>Calc!C22</f>
        <v>0.37144199999999999</v>
      </c>
      <c r="D15" s="111">
        <f>Calc!J22</f>
        <v>3.4669297465478381</v>
      </c>
      <c r="E15" s="111">
        <f>Calc!L22</f>
        <v>3.5473893896955548</v>
      </c>
      <c r="F15" s="112">
        <f>Calc!D22</f>
        <v>0.67389950860000003</v>
      </c>
      <c r="G15" s="110">
        <f>Calc!U22</f>
        <v>-9.9610567305265282E-2</v>
      </c>
      <c r="H15" s="110">
        <f>Calc!X22</f>
        <v>-6.7127512358385502E-2</v>
      </c>
      <c r="I15" s="110">
        <f>Calc!H22</f>
        <v>1978902924571035</v>
      </c>
      <c r="J15" s="110">
        <f>Calc!O22</f>
        <v>4.1142285036088313E-5</v>
      </c>
    </row>
    <row r="16" spans="1:18">
      <c r="A16" s="110">
        <f>Calc!A23</f>
        <v>1.508E-3</v>
      </c>
      <c r="B16" s="110">
        <f>Calc!B23</f>
        <v>0.67552100000000004</v>
      </c>
      <c r="C16" s="110">
        <f>Calc!C23</f>
        <v>0.34938000000000002</v>
      </c>
      <c r="D16" s="111">
        <f>Calc!J23</f>
        <v>3.2610095650165674</v>
      </c>
      <c r="E16" s="111">
        <f>Calc!L23</f>
        <v>3.3376522060531681</v>
      </c>
      <c r="F16" s="112">
        <f>Calc!D23</f>
        <v>0.67210750860000001</v>
      </c>
      <c r="G16" s="110">
        <f>Calc!U23</f>
        <v>-9.1409214213297035E-2</v>
      </c>
      <c r="H16" s="110">
        <f>Calc!X23</f>
        <v>-6.1436819227982782E-2</v>
      </c>
      <c r="I16" s="110">
        <f>Calc!H23</f>
        <v>1868089193656847</v>
      </c>
      <c r="J16" s="110">
        <f>Calc!O23</f>
        <v>4.1279013458830224E-5</v>
      </c>
    </row>
    <row r="17" spans="1:10">
      <c r="A17" s="110">
        <f>Calc!A24</f>
        <v>1.6119999999999999E-3</v>
      </c>
      <c r="B17" s="110">
        <f>Calc!B24</f>
        <v>0.67369000000000001</v>
      </c>
      <c r="C17" s="110">
        <f>Calc!C24</f>
        <v>0.32866499999999998</v>
      </c>
      <c r="D17" s="111">
        <f>Calc!J24</f>
        <v>3.0676618830103894</v>
      </c>
      <c r="E17" s="111">
        <f>Calc!L24</f>
        <v>3.1420477174068782</v>
      </c>
      <c r="F17" s="112">
        <f>Calc!D24</f>
        <v>0.67027650859999999</v>
      </c>
      <c r="G17" s="110">
        <f>Calc!U24</f>
        <v>-8.3760491893761155E-2</v>
      </c>
      <c r="H17" s="110">
        <f>Calc!X24</f>
        <v>-5.6142690065168831E-2</v>
      </c>
      <c r="I17" s="110">
        <f>Calc!H24</f>
        <v>1760445995318175</v>
      </c>
      <c r="J17" s="110">
        <f>Calc!O24</f>
        <v>4.1322131141997667E-5</v>
      </c>
    </row>
    <row r="18" spans="1:10">
      <c r="A18" s="110">
        <f>Calc!A25</f>
        <v>1.7160000000000001E-3</v>
      </c>
      <c r="B18" s="110">
        <f>Calc!B25</f>
        <v>0.671875</v>
      </c>
      <c r="C18" s="110">
        <f>Calc!C25</f>
        <v>0.30940899999999999</v>
      </c>
      <c r="D18" s="111">
        <f>Calc!J25</f>
        <v>2.8879320753970203</v>
      </c>
      <c r="E18" s="111">
        <f>Calc!L25</f>
        <v>2.9579603742662894</v>
      </c>
      <c r="F18" s="112">
        <f>Calc!D25</f>
        <v>0.66846150859999998</v>
      </c>
      <c r="G18" s="110">
        <f>Calc!U25</f>
        <v>-7.6562124514934715E-2</v>
      </c>
      <c r="H18" s="110">
        <f>Calc!X25</f>
        <v>-5.1178833254874302E-2</v>
      </c>
      <c r="I18" s="110">
        <f>Calc!H25</f>
        <v>1659099857837210</v>
      </c>
      <c r="J18" s="110">
        <f>Calc!O25</f>
        <v>4.1366897993901986E-5</v>
      </c>
    </row>
    <row r="19" spans="1:10">
      <c r="A19" s="110">
        <f>Calc!A26</f>
        <v>1.82E-3</v>
      </c>
      <c r="B19" s="110">
        <f>Calc!B26</f>
        <v>0.67008500000000004</v>
      </c>
      <c r="C19" s="110">
        <f>Calc!C26</f>
        <v>0.29138700000000001</v>
      </c>
      <c r="D19" s="111">
        <f>Calc!J26</f>
        <v>2.7197200587368551</v>
      </c>
      <c r="E19" s="111">
        <f>Calc!L26</f>
        <v>2.7853178705676496</v>
      </c>
      <c r="F19" s="112">
        <f>Calc!D26</f>
        <v>0.66667150860000002</v>
      </c>
      <c r="G19" s="110">
        <f>Calc!U26</f>
        <v>-6.9811284692806799E-2</v>
      </c>
      <c r="H19" s="110">
        <f>Calc!X26</f>
        <v>-4.6541194483457594E-2</v>
      </c>
      <c r="I19" s="110">
        <f>Calc!H26</f>
        <v>1564170595352196</v>
      </c>
      <c r="J19" s="110">
        <f>Calc!O26</f>
        <v>4.1417333289910197E-5</v>
      </c>
    </row>
    <row r="20" spans="1:10">
      <c r="A20" s="110">
        <f>Calc!A27</f>
        <v>1.9239999999999999E-3</v>
      </c>
      <c r="B20" s="110">
        <f>Calc!B27</f>
        <v>0.66823999999999995</v>
      </c>
      <c r="C20" s="110">
        <f>Calc!C27</f>
        <v>0.27439599999999997</v>
      </c>
      <c r="D20" s="111">
        <f>Calc!J27</f>
        <v>2.5611310910821623</v>
      </c>
      <c r="E20" s="111">
        <f>Calc!L27</f>
        <v>2.6252091701048053</v>
      </c>
      <c r="F20" s="112">
        <f>Calc!D27</f>
        <v>0.66482650859999992</v>
      </c>
      <c r="G20" s="110">
        <f>Calc!U27</f>
        <v>-6.3550554178608193E-2</v>
      </c>
      <c r="H20" s="110">
        <f>Calc!X27</f>
        <v>-4.2250093054159221E-2</v>
      </c>
      <c r="I20" s="110">
        <f>Calc!H27</f>
        <v>1471336575041595</v>
      </c>
      <c r="J20" s="110">
        <f>Calc!O27</f>
        <v>4.1335281480928934E-5</v>
      </c>
    </row>
    <row r="21" spans="1:10">
      <c r="A21" s="110">
        <f>Calc!A28</f>
        <v>2.0279999999999999E-3</v>
      </c>
      <c r="B21" s="110">
        <f>Calc!B28</f>
        <v>0.66643300000000005</v>
      </c>
      <c r="C21" s="110">
        <f>Calc!C28</f>
        <v>0.258604</v>
      </c>
      <c r="D21" s="111">
        <f>Calc!J28</f>
        <v>2.4137332347345133</v>
      </c>
      <c r="E21" s="111">
        <f>Calc!L28</f>
        <v>2.4732387406660714</v>
      </c>
      <c r="F21" s="112">
        <f>Calc!D28</f>
        <v>0.66301950860000003</v>
      </c>
      <c r="G21" s="110">
        <f>Calc!U28</f>
        <v>-5.7608054476265387E-2</v>
      </c>
      <c r="H21" s="110">
        <f>Calc!X28</f>
        <v>-3.8195263970255508E-2</v>
      </c>
      <c r="I21" s="110">
        <f>Calc!H28</f>
        <v>1385148261544841</v>
      </c>
      <c r="J21" s="110">
        <f>Calc!O28</f>
        <v>4.1305035684015684E-5</v>
      </c>
    </row>
    <row r="22" spans="1:10">
      <c r="A22" s="110">
        <f>Calc!A29</f>
        <v>2.1320000000000002E-3</v>
      </c>
      <c r="B22" s="110">
        <f>Calc!B29</f>
        <v>0.66461800000000004</v>
      </c>
      <c r="C22" s="110">
        <f>Calc!C29</f>
        <v>0.24382499999999999</v>
      </c>
      <c r="D22" s="111">
        <f>Calc!J29</f>
        <v>2.2757904207171689</v>
      </c>
      <c r="E22" s="111">
        <f>Calc!L29</f>
        <v>2.3324129752670237</v>
      </c>
      <c r="F22" s="112">
        <f>Calc!D29</f>
        <v>0.66120450860000002</v>
      </c>
      <c r="G22" s="110">
        <f>Calc!U29</f>
        <v>-5.210134457186643E-2</v>
      </c>
      <c r="H22" s="110">
        <f>Calc!X29</f>
        <v>-3.4449643935040221E-2</v>
      </c>
      <c r="I22" s="110">
        <f>Calc!H29</f>
        <v>1303100165282483</v>
      </c>
      <c r="J22" s="110">
        <f>Calc!O29</f>
        <v>4.1204545887365164E-5</v>
      </c>
    </row>
    <row r="23" spans="1:10">
      <c r="A23" s="110">
        <f>Calc!A30</f>
        <v>2.2360000000000001E-3</v>
      </c>
      <c r="B23" s="110">
        <f>Calc!B30</f>
        <v>0.66280499999999998</v>
      </c>
      <c r="C23" s="110">
        <f>Calc!C30</f>
        <v>0.22998499999999999</v>
      </c>
      <c r="D23" s="111">
        <f>Calc!J30</f>
        <v>2.1466119549211036</v>
      </c>
      <c r="E23" s="111">
        <f>Calc!L30</f>
        <v>2.2001646890632465</v>
      </c>
      <c r="F23" s="112">
        <f>Calc!D30</f>
        <v>0.65939150859999995</v>
      </c>
      <c r="G23" s="110">
        <f>Calc!U30</f>
        <v>-4.6930039836440125E-2</v>
      </c>
      <c r="H23" s="110">
        <f>Calc!X30</f>
        <v>-3.0945269766408351E-2</v>
      </c>
      <c r="I23" s="110">
        <f>Calc!H30</f>
        <v>1225478486639696</v>
      </c>
      <c r="J23" s="110">
        <f>Calc!O30</f>
        <v>4.1079323439368934E-5</v>
      </c>
    </row>
    <row r="24" spans="1:10">
      <c r="A24" s="110">
        <f>Calc!A31</f>
        <v>2.3400000000000001E-3</v>
      </c>
      <c r="B24" s="110">
        <f>Calc!B31</f>
        <v>0.66098500000000004</v>
      </c>
      <c r="C24" s="110">
        <f>Calc!C31</f>
        <v>0.216921</v>
      </c>
      <c r="D24" s="111">
        <f>Calc!J31</f>
        <v>2.0246764435656268</v>
      </c>
      <c r="E24" s="111">
        <f>Calc!L31</f>
        <v>2.0755352746102336</v>
      </c>
      <c r="F24" s="112">
        <f>Calc!D31</f>
        <v>0.65757150860000002</v>
      </c>
      <c r="G24" s="110">
        <f>Calc!U31</f>
        <v>-4.2056655843083962E-2</v>
      </c>
      <c r="H24" s="110">
        <f>Calc!X31</f>
        <v>-2.7655258629407726E-2</v>
      </c>
      <c r="I24" s="110">
        <f>Calc!H31</f>
        <v>1151730641550912</v>
      </c>
      <c r="J24" s="110">
        <f>Calc!O31</f>
        <v>4.0925461318766491E-5</v>
      </c>
    </row>
    <row r="25" spans="1:10">
      <c r="A25" s="110">
        <f>Calc!A32</f>
        <v>2.444E-3</v>
      </c>
      <c r="B25" s="110">
        <f>Calc!B32</f>
        <v>0.65915199999999996</v>
      </c>
      <c r="C25" s="110">
        <f>Calc!C32</f>
        <v>0.204708</v>
      </c>
      <c r="D25" s="111">
        <f>Calc!J32</f>
        <v>1.91068391446394</v>
      </c>
      <c r="E25" s="111">
        <f>Calc!L32</f>
        <v>1.9590930583175443</v>
      </c>
      <c r="F25" s="112">
        <f>Calc!D32</f>
        <v>0.65573850859999994</v>
      </c>
      <c r="G25" s="110">
        <f>Calc!U32</f>
        <v>-3.7503415859390932E-2</v>
      </c>
      <c r="H25" s="110">
        <f>Calc!X32</f>
        <v>-2.4592433983042596E-2</v>
      </c>
      <c r="I25" s="110">
        <f>Calc!H32</f>
        <v>1081498955208384</v>
      </c>
      <c r="J25" s="110">
        <f>Calc!O32</f>
        <v>4.0714004423267217E-5</v>
      </c>
    </row>
    <row r="26" spans="1:10">
      <c r="A26" s="110">
        <f>Calc!A33</f>
        <v>2.5479999999999999E-3</v>
      </c>
      <c r="B26" s="110">
        <f>Calc!B33</f>
        <v>0.65730999999999995</v>
      </c>
      <c r="C26" s="110">
        <f>Calc!C33</f>
        <v>0.193352</v>
      </c>
      <c r="D26" s="111">
        <f>Calc!J33</f>
        <v>1.8046903698410992</v>
      </c>
      <c r="E26" s="111">
        <f>Calc!L33</f>
        <v>1.8506244697227552</v>
      </c>
      <c r="F26" s="112">
        <f>Calc!D33</f>
        <v>0.65389650859999993</v>
      </c>
      <c r="G26" s="110">
        <f>Calc!U33</f>
        <v>-3.3261968639568894E-2</v>
      </c>
      <c r="H26" s="110">
        <f>Calc!X33</f>
        <v>-2.1749885162576789E-2</v>
      </c>
      <c r="I26" s="110">
        <f>Calc!H33</f>
        <v>1014827900095669</v>
      </c>
      <c r="J26" s="110">
        <f>Calc!O33</f>
        <v>4.0443327411220083E-5</v>
      </c>
    </row>
    <row r="27" spans="1:10">
      <c r="A27" s="110">
        <f>Calc!A34</f>
        <v>2.6519999999999998E-3</v>
      </c>
      <c r="B27" s="110">
        <f>Calc!B34</f>
        <v>0.65551599999999999</v>
      </c>
      <c r="C27" s="110">
        <f>Calc!C34</f>
        <v>0.18265799999999999</v>
      </c>
      <c r="D27" s="111">
        <f>Calc!J34</f>
        <v>1.704875737382781</v>
      </c>
      <c r="E27" s="111">
        <f>Calc!L34</f>
        <v>1.7471564820989003</v>
      </c>
      <c r="F27" s="112">
        <f>Calc!D34</f>
        <v>0.65210250859999996</v>
      </c>
      <c r="G27" s="110">
        <f>Calc!U34</f>
        <v>-2.9216059919513298E-2</v>
      </c>
      <c r="H27" s="110">
        <f>Calc!X34</f>
        <v>-1.9051865964922535E-2</v>
      </c>
      <c r="I27" s="110">
        <f>Calc!H34</f>
        <v>953487807539555</v>
      </c>
      <c r="J27" s="110">
        <f>Calc!O34</f>
        <v>4.0249095140147097E-5</v>
      </c>
    </row>
    <row r="28" spans="1:10">
      <c r="A28" s="110">
        <f>Calc!A35</f>
        <v>2.7560000000000002E-3</v>
      </c>
      <c r="B28" s="110">
        <f>Calc!B35</f>
        <v>0.65368700000000002</v>
      </c>
      <c r="C28" s="110">
        <f>Calc!C35</f>
        <v>0.17261399999999999</v>
      </c>
      <c r="D28" s="111">
        <f>Calc!J35</f>
        <v>1.6111280126388736</v>
      </c>
      <c r="E28" s="111">
        <f>Calc!L35</f>
        <v>1.651798075875728</v>
      </c>
      <c r="F28" s="112">
        <f>Calc!D35</f>
        <v>0.65027350859999999</v>
      </c>
      <c r="G28" s="110">
        <f>Calc!U35</f>
        <v>-2.5487260160968594E-2</v>
      </c>
      <c r="H28" s="110">
        <f>Calc!X35</f>
        <v>-1.6573690089474048E-2</v>
      </c>
      <c r="I28" s="110">
        <f>Calc!H35</f>
        <v>894434066303899</v>
      </c>
      <c r="J28" s="110">
        <f>Calc!O35</f>
        <v>3.993596260393742E-5</v>
      </c>
    </row>
    <row r="29" spans="1:10">
      <c r="A29" s="110">
        <f>Calc!A36</f>
        <v>2.8600000000000001E-3</v>
      </c>
      <c r="B29" s="110">
        <f>Calc!B36</f>
        <v>0.65183999999999997</v>
      </c>
      <c r="C29" s="110">
        <f>Calc!C36</f>
        <v>0.163184</v>
      </c>
      <c r="D29" s="111">
        <f>Calc!J36</f>
        <v>1.5231111822590402</v>
      </c>
      <c r="E29" s="111">
        <f>Calc!L36</f>
        <v>1.5618158975378584</v>
      </c>
      <c r="F29" s="112">
        <f>Calc!D36</f>
        <v>0.64842650859999995</v>
      </c>
      <c r="G29" s="110">
        <f>Calc!U36</f>
        <v>-2.1968687041422876E-2</v>
      </c>
      <c r="H29" s="110">
        <f>Calc!X36</f>
        <v>-1.4245079036795899E-2</v>
      </c>
      <c r="I29" s="110">
        <f>Calc!H36</f>
        <v>838201039706177.5</v>
      </c>
      <c r="J29" s="110">
        <f>Calc!O36</f>
        <v>3.9581398714490527E-5</v>
      </c>
    </row>
    <row r="30" spans="1:10">
      <c r="A30" s="110">
        <f>Calc!A37</f>
        <v>2.9640000000000001E-3</v>
      </c>
      <c r="B30" s="110">
        <f>Calc!B37</f>
        <v>0.64999799999999996</v>
      </c>
      <c r="C30" s="110">
        <f>Calc!C37</f>
        <v>0.154254</v>
      </c>
      <c r="D30" s="111">
        <f>Calc!J37</f>
        <v>1.4397612039672147</v>
      </c>
      <c r="E30" s="111">
        <f>Calc!L37</f>
        <v>1.476122631402679</v>
      </c>
      <c r="F30" s="112">
        <f>Calc!D37</f>
        <v>0.64658450859999994</v>
      </c>
      <c r="G30" s="110">
        <f>Calc!U37</f>
        <v>-1.8617823255738956E-2</v>
      </c>
      <c r="H30" s="110">
        <f>Calc!X37</f>
        <v>-1.2037996101013625E-2</v>
      </c>
      <c r="I30" s="110">
        <f>Calc!H37</f>
        <v>785361432937279</v>
      </c>
      <c r="J30" s="110">
        <f>Calc!O37</f>
        <v>3.9239179055585153E-5</v>
      </c>
    </row>
    <row r="31" spans="1:10">
      <c r="A31" s="110">
        <f>Calc!A38</f>
        <v>3.068E-3</v>
      </c>
      <c r="B31" s="110">
        <f>Calc!B38</f>
        <v>0.64818699999999996</v>
      </c>
      <c r="C31" s="110">
        <f>Calc!C38</f>
        <v>0.14587800000000001</v>
      </c>
      <c r="D31" s="111">
        <f>Calc!J38</f>
        <v>1.3615820977889026</v>
      </c>
      <c r="E31" s="111">
        <f>Calc!L38</f>
        <v>1.3952737129245851</v>
      </c>
      <c r="F31" s="112">
        <f>Calc!D38</f>
        <v>0.64477350859999993</v>
      </c>
      <c r="G31" s="110">
        <f>Calc!U38</f>
        <v>-1.5456387996490052E-2</v>
      </c>
      <c r="H31" s="110">
        <f>Calc!X38</f>
        <v>-9.9658695187798147E-3</v>
      </c>
      <c r="I31" s="110">
        <f>Calc!H38</f>
        <v>736412926918145.5</v>
      </c>
      <c r="J31" s="110">
        <f>Calc!O38</f>
        <v>3.8925551315799414E-5</v>
      </c>
    </row>
    <row r="32" spans="1:10">
      <c r="A32" s="110">
        <f>Calc!A39</f>
        <v>3.1719999999999999E-3</v>
      </c>
      <c r="B32" s="110">
        <f>Calc!B39</f>
        <v>0.64634800000000003</v>
      </c>
      <c r="C32" s="110">
        <f>Calc!C39</f>
        <v>0.13802200000000001</v>
      </c>
      <c r="D32" s="111">
        <f>Calc!J39</f>
        <v>1.2882565177821186</v>
      </c>
      <c r="E32" s="111">
        <f>Calc!L39</f>
        <v>1.3204525926921749</v>
      </c>
      <c r="F32" s="112">
        <f>Calc!D39</f>
        <v>0.64293450860000001</v>
      </c>
      <c r="G32" s="110">
        <f>Calc!U39</f>
        <v>-1.2530657732042113E-2</v>
      </c>
      <c r="H32" s="110">
        <f>Calc!X39</f>
        <v>-8.0563922713852865E-3</v>
      </c>
      <c r="I32" s="110">
        <f>Calc!H39</f>
        <v>689602681773026.5</v>
      </c>
      <c r="J32" s="110">
        <f>Calc!O39</f>
        <v>3.8516685649442952E-5</v>
      </c>
    </row>
    <row r="33" spans="1:10">
      <c r="A33" s="110">
        <f>Calc!A40</f>
        <v>3.2759999999999998E-3</v>
      </c>
      <c r="B33" s="110">
        <f>Calc!B40</f>
        <v>0.64452699999999996</v>
      </c>
      <c r="C33" s="110">
        <f>Calc!C40</f>
        <v>0.13067200000000001</v>
      </c>
      <c r="D33" s="111">
        <f>Calc!J40</f>
        <v>1.219653792088399</v>
      </c>
      <c r="E33" s="111">
        <f>Calc!L40</f>
        <v>1.2496577927923849</v>
      </c>
      <c r="F33" s="112">
        <f>Calc!D40</f>
        <v>0.64111350859999994</v>
      </c>
      <c r="G33" s="110">
        <f>Calc!U40</f>
        <v>-9.7623686715606253E-3</v>
      </c>
      <c r="H33" s="110">
        <f>Calc!X40</f>
        <v>-6.2587864312709527E-3</v>
      </c>
      <c r="I33" s="110">
        <f>Calc!H40</f>
        <v>645981144466269.5</v>
      </c>
      <c r="J33" s="110">
        <f>Calc!O40</f>
        <v>3.812426861645276E-5</v>
      </c>
    </row>
    <row r="34" spans="1:10">
      <c r="A34" s="110">
        <f>Calc!A41</f>
        <v>3.3800000000000002E-3</v>
      </c>
      <c r="B34" s="110">
        <f>Calc!B41</f>
        <v>0.64269600000000005</v>
      </c>
      <c r="C34" s="110">
        <f>Calc!C41</f>
        <v>0.123726</v>
      </c>
      <c r="D34" s="111">
        <f>Calc!J41</f>
        <v>1.15482188288179</v>
      </c>
      <c r="E34" s="111">
        <f>Calc!L41</f>
        <v>1.1831905485433551</v>
      </c>
      <c r="F34" s="112">
        <f>Calc!D41</f>
        <v>0.63928250860000002</v>
      </c>
      <c r="G34" s="110">
        <f>Calc!U41</f>
        <v>-7.1633000196908159E-3</v>
      </c>
      <c r="H34" s="110">
        <f>Calc!X41</f>
        <v>-4.5793724064423745E-3</v>
      </c>
      <c r="I34" s="110">
        <f>Calc!H41</f>
        <v>604719594167637</v>
      </c>
      <c r="J34" s="110">
        <f>Calc!O41</f>
        <v>3.7693991658382044E-5</v>
      </c>
    </row>
    <row r="35" spans="1:10">
      <c r="A35" s="110">
        <f>Calc!A42</f>
        <v>3.4840000000000001E-3</v>
      </c>
      <c r="B35" s="110">
        <f>Calc!B42</f>
        <v>0.64086100000000001</v>
      </c>
      <c r="C35" s="110">
        <f>Calc!C42</f>
        <v>0.11723</v>
      </c>
      <c r="D35" s="111">
        <f>Calc!J42</f>
        <v>1.0941901405543881</v>
      </c>
      <c r="E35" s="111">
        <f>Calc!L42</f>
        <v>1.1209074910831944</v>
      </c>
      <c r="F35" s="112">
        <f>Calc!D42</f>
        <v>0.63744750859999999</v>
      </c>
      <c r="G35" s="110">
        <f>Calc!U42</f>
        <v>-4.7278456238261518E-3</v>
      </c>
      <c r="H35" s="110">
        <f>Calc!X42</f>
        <v>-3.0137534139533934E-3</v>
      </c>
      <c r="I35" s="110">
        <f>Calc!H42</f>
        <v>565847475769470</v>
      </c>
      <c r="J35" s="110">
        <f>Calc!O42</f>
        <v>3.723080206200717E-5</v>
      </c>
    </row>
    <row r="36" spans="1:10">
      <c r="A36" s="110">
        <f>Calc!A43</f>
        <v>3.588E-3</v>
      </c>
      <c r="B36" s="110">
        <f>Calc!B43</f>
        <v>0.638988</v>
      </c>
      <c r="C36" s="110">
        <f>Calc!C43</f>
        <v>0.111066</v>
      </c>
      <c r="D36" s="111">
        <f>Calc!J43</f>
        <v>1.0366571880134239</v>
      </c>
      <c r="E36" s="111">
        <f>Calc!L43</f>
        <v>1.0622387596034271</v>
      </c>
      <c r="F36" s="112">
        <f>Calc!D43</f>
        <v>0.63557450859999998</v>
      </c>
      <c r="G36" s="110">
        <f>Calc!U43</f>
        <v>-2.4337222167728082E-3</v>
      </c>
      <c r="H36" s="110">
        <f>Calc!X43</f>
        <v>-1.5468118019942802E-3</v>
      </c>
      <c r="I36" s="110">
        <f>Calc!H43</f>
        <v>528594281160171</v>
      </c>
      <c r="J36" s="110">
        <f>Calc!O43</f>
        <v>3.6700594313431778E-5</v>
      </c>
    </row>
    <row r="37" spans="1:10">
      <c r="A37" s="110">
        <f>Calc!A44</f>
        <v>3.692E-3</v>
      </c>
      <c r="B37" s="110">
        <f>Calc!B44</f>
        <v>0.63716399999999995</v>
      </c>
      <c r="C37" s="110">
        <f>Calc!C44</f>
        <v>0.105254</v>
      </c>
      <c r="D37" s="111">
        <f>Calc!J44</f>
        <v>0.98240969934241729</v>
      </c>
      <c r="E37" s="111">
        <f>Calc!L44</f>
        <v>1.0058072805063154</v>
      </c>
      <c r="F37" s="112">
        <f>Calc!D44</f>
        <v>0.63375050859999993</v>
      </c>
      <c r="G37" s="110">
        <f>Calc!U44</f>
        <v>-2.2708208963845124E-4</v>
      </c>
      <c r="H37" s="110">
        <f>Calc!X44</f>
        <v>-1.4391338980231924E-4</v>
      </c>
      <c r="I37" s="110">
        <f>Calc!H44</f>
        <v>494542434382628.5</v>
      </c>
      <c r="J37" s="110">
        <f>Calc!O44</f>
        <v>3.6262819515461852E-5</v>
      </c>
    </row>
    <row r="38" spans="1:10">
      <c r="A38" s="110">
        <f>Calc!A45</f>
        <v>3.7959999999999999E-3</v>
      </c>
      <c r="B38" s="110">
        <f>Calc!B45</f>
        <v>0.63529999999999998</v>
      </c>
      <c r="C38" s="110">
        <f>Calc!C45</f>
        <v>9.9807000000000007E-2</v>
      </c>
      <c r="D38" s="111">
        <f>Calc!J45</f>
        <v>0.93156901269565662</v>
      </c>
      <c r="E38" s="111">
        <f>Calc!L45</f>
        <v>0.95398476159241885</v>
      </c>
      <c r="F38" s="112">
        <f>Calc!D45</f>
        <v>0.63188650859999995</v>
      </c>
      <c r="G38" s="110">
        <f>Calc!U45</f>
        <v>1.7993338674516456E-3</v>
      </c>
      <c r="H38" s="110">
        <f>Calc!X45</f>
        <v>1.1369747953097553E-3</v>
      </c>
      <c r="I38" s="110">
        <f>Calc!H45</f>
        <v>461889292083058.5</v>
      </c>
      <c r="J38" s="110">
        <f>Calc!O45</f>
        <v>3.5708305165972581E-5</v>
      </c>
    </row>
    <row r="39" spans="1:10">
      <c r="A39" s="110">
        <f>Calc!A46</f>
        <v>3.8999999999999998E-3</v>
      </c>
      <c r="B39" s="110">
        <f>Calc!B46</f>
        <v>0.63345300000000004</v>
      </c>
      <c r="C39" s="110">
        <f>Calc!C46</f>
        <v>9.4616000000000006E-2</v>
      </c>
      <c r="D39" s="111">
        <f>Calc!J46</f>
        <v>0.88311775431795614</v>
      </c>
      <c r="E39" s="111">
        <f>Calc!L46</f>
        <v>0.90394354528469034</v>
      </c>
      <c r="F39" s="112">
        <f>Calc!D46</f>
        <v>0.63003950860000002</v>
      </c>
      <c r="G39" s="110">
        <f>Calc!U46</f>
        <v>3.7560955487327533E-3</v>
      </c>
      <c r="H39" s="110">
        <f>Calc!X46</f>
        <v>2.3664885937782314E-3</v>
      </c>
      <c r="I39" s="110">
        <f>Calc!H46</f>
        <v>431554647735362</v>
      </c>
      <c r="J39" s="110">
        <f>Calc!O46</f>
        <v>3.5210101035545615E-5</v>
      </c>
    </row>
    <row r="40" spans="1:10">
      <c r="A40" s="110">
        <f>Calc!A47</f>
        <v>4.0039999999999997E-3</v>
      </c>
      <c r="B40" s="110">
        <f>Calc!B47</f>
        <v>0.63159100000000001</v>
      </c>
      <c r="C40" s="110">
        <f>Calc!C47</f>
        <v>8.9677000000000007E-2</v>
      </c>
      <c r="D40" s="111">
        <f>Calc!J47</f>
        <v>0.83701858939261176</v>
      </c>
      <c r="E40" s="111">
        <f>Calc!L47</f>
        <v>0.85668527454355337</v>
      </c>
      <c r="F40" s="112">
        <f>Calc!D47</f>
        <v>0.62817750859999999</v>
      </c>
      <c r="G40" s="110">
        <f>Calc!U47</f>
        <v>5.6040357095234325E-3</v>
      </c>
      <c r="H40" s="110">
        <f>Calc!X47</f>
        <v>3.520329190113863E-3</v>
      </c>
      <c r="I40" s="110">
        <f>Calc!H47</f>
        <v>402894688283815</v>
      </c>
      <c r="J40" s="110">
        <f>Calc!O47</f>
        <v>3.4685105583406416E-5</v>
      </c>
    </row>
    <row r="41" spans="1:10">
      <c r="A41" s="110">
        <f>Calc!A48</f>
        <v>4.1079999999999997E-3</v>
      </c>
      <c r="B41" s="110">
        <f>Calc!B48</f>
        <v>0.62972799999999995</v>
      </c>
      <c r="C41" s="110">
        <f>Calc!C48</f>
        <v>8.5089999999999999E-2</v>
      </c>
      <c r="D41" s="111">
        <f>Calc!J48</f>
        <v>0.79420488833722502</v>
      </c>
      <c r="E41" s="111">
        <f>Calc!L48</f>
        <v>0.8126291367830456</v>
      </c>
      <c r="F41" s="112">
        <f>Calc!D48</f>
        <v>0.62631450859999993</v>
      </c>
      <c r="G41" s="110">
        <f>Calc!U48</f>
        <v>7.326762864372568E-3</v>
      </c>
      <c r="H41" s="110">
        <f>Calc!X48</f>
        <v>4.588857883028233E-3</v>
      </c>
      <c r="I41" s="110">
        <f>Calc!H48</f>
        <v>376039369485354.5</v>
      </c>
      <c r="J41" s="110">
        <f>Calc!O48</f>
        <v>3.4128225444932609E-5</v>
      </c>
    </row>
    <row r="42" spans="1:10">
      <c r="A42" s="110">
        <f>Calc!A49</f>
        <v>4.2119999999999996E-3</v>
      </c>
      <c r="B42" s="110">
        <f>Calc!B49</f>
        <v>0.62785800000000003</v>
      </c>
      <c r="C42" s="110">
        <f>Calc!C49</f>
        <v>8.0708000000000002E-2</v>
      </c>
      <c r="D42" s="111">
        <f>Calc!J49</f>
        <v>0.75330459663792171</v>
      </c>
      <c r="E42" s="111">
        <f>Calc!L49</f>
        <v>0.77060942436258617</v>
      </c>
      <c r="F42" s="112">
        <f>Calc!D49</f>
        <v>0.6244445086</v>
      </c>
      <c r="G42" s="110">
        <f>Calc!U49</f>
        <v>8.9698596791497921E-3</v>
      </c>
      <c r="H42" s="110">
        <f>Calc!X49</f>
        <v>5.601179619557646E-3</v>
      </c>
      <c r="I42" s="110">
        <f>Calc!H49</f>
        <v>350807633521089.5</v>
      </c>
      <c r="J42" s="110">
        <f>Calc!O49</f>
        <v>3.3574341227809322E-5</v>
      </c>
    </row>
    <row r="43" spans="1:10">
      <c r="A43" s="110">
        <f>Calc!A50</f>
        <v>4.3160000000000004E-3</v>
      </c>
      <c r="B43" s="110">
        <f>Calc!B50</f>
        <v>0.62595500000000004</v>
      </c>
      <c r="C43" s="110">
        <f>Calc!C50</f>
        <v>7.6606999999999995E-2</v>
      </c>
      <c r="D43" s="111">
        <f>Calc!J50</f>
        <v>0.71502707581207892</v>
      </c>
      <c r="E43" s="111">
        <f>Calc!L50</f>
        <v>0.7314798070219114</v>
      </c>
      <c r="F43" s="112">
        <f>Calc!D50</f>
        <v>0.62254150860000002</v>
      </c>
      <c r="G43" s="110">
        <f>Calc!U50</f>
        <v>1.0499945106022198E-2</v>
      </c>
      <c r="H43" s="110">
        <f>Calc!X50</f>
        <v>6.5366516665202462E-3</v>
      </c>
      <c r="I43" s="110">
        <f>Calc!H50</f>
        <v>326799463812672</v>
      </c>
      <c r="J43" s="110">
        <f>Calc!O50</f>
        <v>3.2949723513315936E-5</v>
      </c>
    </row>
    <row r="44" spans="1:10">
      <c r="A44" s="110">
        <f>Calc!A51</f>
        <v>4.4200000000000003E-3</v>
      </c>
      <c r="B44" s="110">
        <f>Calc!B51</f>
        <v>0.62406300000000003</v>
      </c>
      <c r="C44" s="110">
        <f>Calc!C51</f>
        <v>7.2747999999999993E-2</v>
      </c>
      <c r="D44" s="111">
        <f>Calc!J51</f>
        <v>0.67900831139683204</v>
      </c>
      <c r="E44" s="111">
        <f>Calc!L51</f>
        <v>0.69429123657132952</v>
      </c>
      <c r="F44" s="112">
        <f>Calc!D51</f>
        <v>0.62064950860000001</v>
      </c>
      <c r="G44" s="110">
        <f>Calc!U51</f>
        <v>1.1954129776351302E-2</v>
      </c>
      <c r="H44" s="110">
        <f>Calc!X51</f>
        <v>7.4193247714330638E-3</v>
      </c>
      <c r="I44" s="110">
        <f>Calc!H51</f>
        <v>304498668717008.5</v>
      </c>
      <c r="J44" s="110">
        <f>Calc!O51</f>
        <v>3.2345695639637137E-5</v>
      </c>
    </row>
    <row r="45" spans="1:10">
      <c r="A45" s="110">
        <f>Calc!A52</f>
        <v>4.5240000000000002E-3</v>
      </c>
      <c r="B45" s="110">
        <f>Calc!B52</f>
        <v>0.62217199999999995</v>
      </c>
      <c r="C45" s="110">
        <f>Calc!C52</f>
        <v>6.9114999999999996E-2</v>
      </c>
      <c r="D45" s="111">
        <f>Calc!J52</f>
        <v>0.64509896412536494</v>
      </c>
      <c r="E45" s="111">
        <f>Calc!L52</f>
        <v>0.65936584256944009</v>
      </c>
      <c r="F45" s="112">
        <f>Calc!D52</f>
        <v>0.61875850859999992</v>
      </c>
      <c r="G45" s="110">
        <f>Calc!U52</f>
        <v>1.3319817458007184E-2</v>
      </c>
      <c r="H45" s="110">
        <f>Calc!X52</f>
        <v>8.2417503851407673E-3</v>
      </c>
      <c r="I45" s="110">
        <f>Calc!H52</f>
        <v>283677267292110</v>
      </c>
      <c r="J45" s="110">
        <f>Calc!O52</f>
        <v>3.1730058314595749E-5</v>
      </c>
    </row>
    <row r="46" spans="1:10">
      <c r="A46" s="110">
        <f>Calc!A53</f>
        <v>4.6280000000000002E-3</v>
      </c>
      <c r="B46" s="110">
        <f>Calc!B53</f>
        <v>0.62025399999999997</v>
      </c>
      <c r="C46" s="110">
        <f>Calc!C53</f>
        <v>6.5626000000000004E-2</v>
      </c>
      <c r="D46" s="111">
        <f>Calc!J53</f>
        <v>0.6125336702552443</v>
      </c>
      <c r="E46" s="111">
        <f>Calc!L53</f>
        <v>0.62603168102584006</v>
      </c>
      <c r="F46" s="112">
        <f>Calc!D53</f>
        <v>0.61684050859999995</v>
      </c>
      <c r="G46" s="110">
        <f>Calc!U53</f>
        <v>1.4623283176846576E-2</v>
      </c>
      <c r="H46" s="110">
        <f>Calc!X53</f>
        <v>9.0202334322078657E-3</v>
      </c>
      <c r="I46" s="110">
        <f>Calc!H53</f>
        <v>263964939958886</v>
      </c>
      <c r="J46" s="110">
        <f>Calc!O53</f>
        <v>3.1097302385053734E-5</v>
      </c>
    </row>
    <row r="47" spans="1:10">
      <c r="A47" s="110">
        <f>Calc!A54</f>
        <v>4.7320000000000001E-3</v>
      </c>
      <c r="B47" s="110">
        <f>Calc!B54</f>
        <v>0.61835899999999999</v>
      </c>
      <c r="C47" s="110">
        <f>Calc!C54</f>
        <v>6.2371000000000003E-2</v>
      </c>
      <c r="D47" s="111">
        <f>Calc!J54</f>
        <v>0.58215246316231128</v>
      </c>
      <c r="E47" s="111">
        <f>Calc!L54</f>
        <v>0.594598771200603</v>
      </c>
      <c r="F47" s="112">
        <f>Calc!D54</f>
        <v>0.61494550859999997</v>
      </c>
      <c r="G47" s="110">
        <f>Calc!U54</f>
        <v>1.5852404249742821E-2</v>
      </c>
      <c r="H47" s="110">
        <f>Calc!X54</f>
        <v>9.7483647938908999E-3</v>
      </c>
      <c r="I47" s="110">
        <f>Calc!H54</f>
        <v>245793336222779.5</v>
      </c>
      <c r="J47" s="110">
        <f>Calc!O54</f>
        <v>3.0487293948823661E-5</v>
      </c>
    </row>
    <row r="48" spans="1:10">
      <c r="A48" s="110">
        <f>Calc!A55</f>
        <v>4.836E-3</v>
      </c>
      <c r="B48" s="110">
        <f>Calc!B55</f>
        <v>0.61639699999999997</v>
      </c>
      <c r="C48" s="110">
        <f>Calc!C55</f>
        <v>5.9281E-2</v>
      </c>
      <c r="D48" s="111">
        <f>Calc!J55</f>
        <v>0.55331131725842098</v>
      </c>
      <c r="E48" s="111">
        <f>Calc!L55</f>
        <v>0.56530480655555271</v>
      </c>
      <c r="F48" s="112">
        <f>Calc!D55</f>
        <v>0.61298350859999995</v>
      </c>
      <c r="G48" s="110">
        <f>Calc!U55</f>
        <v>1.6997886149258221E-2</v>
      </c>
      <c r="H48" s="110">
        <f>Calc!X55</f>
        <v>1.0419423890555647E-2</v>
      </c>
      <c r="I48" s="110">
        <f>Calc!H55</f>
        <v>228258452403197</v>
      </c>
      <c r="J48" s="110">
        <f>Calc!O55</f>
        <v>2.9779470495550052E-5</v>
      </c>
    </row>
    <row r="49" spans="1:10">
      <c r="A49" s="110">
        <f>Calc!A56</f>
        <v>4.9399999999999999E-3</v>
      </c>
      <c r="B49" s="110">
        <f>Calc!B56</f>
        <v>0.61445399999999994</v>
      </c>
      <c r="C49" s="110">
        <f>Calc!C56</f>
        <v>5.6333000000000001E-2</v>
      </c>
      <c r="D49" s="111">
        <f>Calc!J56</f>
        <v>0.52579555734752492</v>
      </c>
      <c r="E49" s="111">
        <f>Calc!L56</f>
        <v>0.53685438521470397</v>
      </c>
      <c r="F49" s="112">
        <f>Calc!D56</f>
        <v>0.61104050859999992</v>
      </c>
      <c r="G49" s="110">
        <f>Calc!U56</f>
        <v>1.8110382974949431E-2</v>
      </c>
      <c r="H49" s="110">
        <f>Calc!X56</f>
        <v>1.106617762395388E-2</v>
      </c>
      <c r="I49" s="110">
        <f>Calc!H56</f>
        <v>212093393151240</v>
      </c>
      <c r="J49" s="110">
        <f>Calc!O56</f>
        <v>2.9136904887515379E-5</v>
      </c>
    </row>
    <row r="50" spans="1:10">
      <c r="A50" s="110">
        <f>Calc!A57</f>
        <v>5.0439999999999999E-3</v>
      </c>
      <c r="B50" s="110">
        <f>Calc!B57</f>
        <v>0.61249399999999998</v>
      </c>
      <c r="C50" s="110">
        <f>Calc!C57</f>
        <v>5.3561999999999999E-2</v>
      </c>
      <c r="D50" s="111">
        <f>Calc!J57</f>
        <v>0.4999318630757838</v>
      </c>
      <c r="E50" s="111">
        <f>Calc!L57</f>
        <v>0.51030928941933706</v>
      </c>
      <c r="F50" s="112">
        <f>Calc!D57</f>
        <v>0.60908050859999996</v>
      </c>
      <c r="G50" s="110">
        <f>Calc!U57</f>
        <v>1.9148375855835661E-2</v>
      </c>
      <c r="H50" s="110">
        <f>Calc!X57</f>
        <v>1.1662902505136344E-2</v>
      </c>
      <c r="I50" s="110">
        <f>Calc!H57</f>
        <v>196917438585352</v>
      </c>
      <c r="J50" s="110">
        <f>Calc!O57</f>
        <v>2.8459252244706906E-5</v>
      </c>
    </row>
    <row r="51" spans="1:10">
      <c r="A51" s="110">
        <f>Calc!A58</f>
        <v>5.1479999999999998E-3</v>
      </c>
      <c r="B51" s="110">
        <f>Calc!B58</f>
        <v>0.61050599999999999</v>
      </c>
      <c r="C51" s="110">
        <f>Calc!C58</f>
        <v>5.0918999999999999E-2</v>
      </c>
      <c r="D51" s="111">
        <f>Calc!J58</f>
        <v>0.47526288293857283</v>
      </c>
      <c r="E51" s="111">
        <f>Calc!L58</f>
        <v>0.48504159493321686</v>
      </c>
      <c r="F51" s="112">
        <f>Calc!D58</f>
        <v>0.60709250859999997</v>
      </c>
      <c r="G51" s="110">
        <f>Calc!U58</f>
        <v>2.0136418513326419E-2</v>
      </c>
      <c r="H51" s="110">
        <f>Calc!X58</f>
        <v>1.2224668829474818E-2</v>
      </c>
      <c r="I51" s="110">
        <f>Calc!H58</f>
        <v>182607626370304</v>
      </c>
      <c r="J51" s="110">
        <f>Calc!O58</f>
        <v>2.7765960984656559E-5</v>
      </c>
    </row>
    <row r="52" spans="1:10">
      <c r="A52" s="110">
        <f>Calc!A59</f>
        <v>5.2519999999999997E-3</v>
      </c>
      <c r="B52" s="110">
        <f>Calc!B59</f>
        <v>0.60850800000000005</v>
      </c>
      <c r="C52" s="110">
        <f>Calc!C59</f>
        <v>4.8426999999999998E-2</v>
      </c>
      <c r="D52" s="111">
        <f>Calc!J59</f>
        <v>0.45200329213194024</v>
      </c>
      <c r="E52" s="111">
        <f>Calc!L59</f>
        <v>0.46112802322731816</v>
      </c>
      <c r="F52" s="112">
        <f>Calc!D59</f>
        <v>0.60509450860000003</v>
      </c>
      <c r="G52" s="110">
        <f>Calc!U59</f>
        <v>2.1071510907742178E-2</v>
      </c>
      <c r="H52" s="110">
        <f>Calc!X59</f>
        <v>1.2750255538179794E-2</v>
      </c>
      <c r="I52" s="110">
        <f>Calc!H59</f>
        <v>169250601746902.5</v>
      </c>
      <c r="J52" s="110">
        <f>Calc!O59</f>
        <v>2.7069578095059074E-5</v>
      </c>
    </row>
    <row r="53" spans="1:10">
      <c r="A53" s="110">
        <f>Calc!A60</f>
        <v>5.3559999999999997E-3</v>
      </c>
      <c r="B53" s="110">
        <f>Calc!B60</f>
        <v>0.60652499999999998</v>
      </c>
      <c r="C53" s="110">
        <f>Calc!C60</f>
        <v>4.6063E-2</v>
      </c>
      <c r="D53" s="111">
        <f>Calc!J60</f>
        <v>0.4299384154598378</v>
      </c>
      <c r="E53" s="111">
        <f>Calc!L60</f>
        <v>0.43834936194211388</v>
      </c>
      <c r="F53" s="112">
        <f>Calc!D60</f>
        <v>0.60311150859999996</v>
      </c>
      <c r="G53" s="110">
        <f>Calc!U60</f>
        <v>2.1962224899977519E-2</v>
      </c>
      <c r="H53" s="110">
        <f>Calc!X60</f>
        <v>1.3245670591637924E-2</v>
      </c>
      <c r="I53" s="110">
        <f>Calc!H60</f>
        <v>156940437200714.5</v>
      </c>
      <c r="J53" s="110">
        <f>Calc!O60</f>
        <v>2.6405066187227393E-5</v>
      </c>
    </row>
    <row r="54" spans="1:10">
      <c r="A54" s="110">
        <f>Calc!A61</f>
        <v>5.4599999999999996E-3</v>
      </c>
      <c r="B54" s="110">
        <f>Calc!B61</f>
        <v>0.60450400000000004</v>
      </c>
      <c r="C54" s="110">
        <f>Calc!C61</f>
        <v>4.3830000000000001E-2</v>
      </c>
      <c r="D54" s="111">
        <f>Calc!J61</f>
        <v>0.40909625403479344</v>
      </c>
      <c r="E54" s="111">
        <f>Calc!L61</f>
        <v>0.41704449681653849</v>
      </c>
      <c r="F54" s="112">
        <f>Calc!D61</f>
        <v>0.60109050860000002</v>
      </c>
      <c r="G54" s="110">
        <f>Calc!U61</f>
        <v>2.2795309040982894E-2</v>
      </c>
      <c r="H54" s="110">
        <f>Calc!X61</f>
        <v>1.3702043905138586E-2</v>
      </c>
      <c r="I54" s="110">
        <f>Calc!H61</f>
        <v>145297788444245</v>
      </c>
      <c r="J54" s="110">
        <f>Calc!O61</f>
        <v>2.5695045455442016E-5</v>
      </c>
    </row>
    <row r="55" spans="1:10">
      <c r="A55" s="110">
        <f>Calc!A62</f>
        <v>5.5640000000000004E-3</v>
      </c>
      <c r="B55" s="110">
        <f>Calc!B62</f>
        <v>0.60248100000000004</v>
      </c>
      <c r="C55" s="110">
        <f>Calc!C62</f>
        <v>4.1721000000000001E-2</v>
      </c>
      <c r="D55" s="111">
        <f>Calc!J62</f>
        <v>0.38941147192757514</v>
      </c>
      <c r="E55" s="111">
        <f>Calc!L62</f>
        <v>0.39678637759913715</v>
      </c>
      <c r="F55" s="112">
        <f>Calc!D62</f>
        <v>0.59906750860000002</v>
      </c>
      <c r="G55" s="110">
        <f>Calc!U62</f>
        <v>2.3587462276740939E-2</v>
      </c>
      <c r="H55" s="110">
        <f>Calc!X62</f>
        <v>1.4130482260323679E-2</v>
      </c>
      <c r="I55" s="110">
        <f>Calc!H62</f>
        <v>134493383029695.5</v>
      </c>
      <c r="J55" s="110">
        <f>Calc!O62</f>
        <v>2.4998672403317847E-5</v>
      </c>
    </row>
    <row r="56" spans="1:10">
      <c r="A56" s="110">
        <f>Calc!A63</f>
        <v>5.6680000000000003E-3</v>
      </c>
      <c r="B56" s="110">
        <f>Calc!B63</f>
        <v>0.60042300000000004</v>
      </c>
      <c r="C56" s="110">
        <f>Calc!C63</f>
        <v>3.9697999999999997E-2</v>
      </c>
      <c r="D56" s="111">
        <f>Calc!J63</f>
        <v>0.37052938837949417</v>
      </c>
      <c r="E56" s="111">
        <f>Calc!L63</f>
        <v>0.37747325197667558</v>
      </c>
      <c r="F56" s="112">
        <f>Calc!D63</f>
        <v>0.59700950860000002</v>
      </c>
      <c r="G56" s="110">
        <f>Calc!U63</f>
        <v>2.4342663427956053E-2</v>
      </c>
      <c r="H56" s="110">
        <f>Calc!X63</f>
        <v>1.4532801531139235E-2</v>
      </c>
      <c r="I56" s="110">
        <f>Calc!H63</f>
        <v>124312631859148</v>
      </c>
      <c r="J56" s="110">
        <f>Calc!O63</f>
        <v>2.4288565148458585E-5</v>
      </c>
    </row>
    <row r="57" spans="1:10">
      <c r="A57" s="110">
        <f>Calc!A64</f>
        <v>5.7720000000000002E-3</v>
      </c>
      <c r="B57" s="110">
        <f>Calc!B64</f>
        <v>0.59835400000000005</v>
      </c>
      <c r="C57" s="110">
        <f>Calc!C64</f>
        <v>3.7798999999999999E-2</v>
      </c>
      <c r="D57" s="111">
        <f>Calc!J64</f>
        <v>0.35280468414923927</v>
      </c>
      <c r="E57" s="111">
        <f>Calc!L64</f>
        <v>0.35926190955779808</v>
      </c>
      <c r="F57" s="112">
        <f>Calc!D64</f>
        <v>0.59494050860000003</v>
      </c>
      <c r="G57" s="110">
        <f>Calc!U64</f>
        <v>2.5054781550561425E-2</v>
      </c>
      <c r="H57" s="110">
        <f>Calc!X64</f>
        <v>1.4906104478552911E-2</v>
      </c>
      <c r="I57" s="110">
        <f>Calc!H64</f>
        <v>114842442247776</v>
      </c>
      <c r="J57" s="110">
        <f>Calc!O64</f>
        <v>2.3575669072508748E-5</v>
      </c>
    </row>
    <row r="58" spans="1:10">
      <c r="A58" s="110">
        <f>Calc!A65</f>
        <v>5.8760000000000001E-3</v>
      </c>
      <c r="B58" s="110">
        <f>Calc!B65</f>
        <v>0.59624699999999997</v>
      </c>
      <c r="C58" s="110">
        <f>Calc!C65</f>
        <v>3.5971000000000003E-2</v>
      </c>
      <c r="D58" s="111">
        <f>Calc!J65</f>
        <v>0.33574267291548154</v>
      </c>
      <c r="E58" s="111">
        <f>Calc!L65</f>
        <v>0.34181527782670107</v>
      </c>
      <c r="F58" s="112">
        <f>Calc!D65</f>
        <v>0.59283350859999995</v>
      </c>
      <c r="G58" s="110">
        <f>Calc!U65</f>
        <v>2.5736997191142506E-2</v>
      </c>
      <c r="H58" s="110">
        <f>Calc!X65</f>
        <v>1.5257754345653355E-2</v>
      </c>
      <c r="I58" s="110">
        <f>Calc!H65</f>
        <v>105929020674721.5</v>
      </c>
      <c r="J58" s="110">
        <f>Calc!O65</f>
        <v>2.2855791634751957E-5</v>
      </c>
    </row>
    <row r="59" spans="1:10">
      <c r="A59" s="110">
        <f>Calc!A66</f>
        <v>5.9800000000000001E-3</v>
      </c>
      <c r="B59" s="110">
        <f>Calc!B66</f>
        <v>0.59411099999999994</v>
      </c>
      <c r="C59" s="110">
        <f>Calc!C66</f>
        <v>3.4228000000000001E-2</v>
      </c>
      <c r="D59" s="111">
        <f>Calc!J66</f>
        <v>0.31947402653668516</v>
      </c>
      <c r="E59" s="111">
        <f>Calc!L66</f>
        <v>0.32515184903414751</v>
      </c>
      <c r="F59" s="112">
        <f>Calc!D66</f>
        <v>0.59069750859999992</v>
      </c>
      <c r="G59" s="110">
        <f>Calc!U66</f>
        <v>2.638858724721773E-2</v>
      </c>
      <c r="H59" s="110">
        <f>Calc!X66</f>
        <v>1.5587672742405244E-2</v>
      </c>
      <c r="I59" s="110">
        <f>Calc!H66</f>
        <v>97589672162748.5</v>
      </c>
      <c r="J59" s="110">
        <f>Calc!O66</f>
        <v>2.2135554828685441E-5</v>
      </c>
    </row>
    <row r="60" spans="1:10">
      <c r="A60" s="110">
        <f>Calc!A67</f>
        <v>6.084E-3</v>
      </c>
      <c r="B60" s="110">
        <f>Calc!B67</f>
        <v>0.59194100000000005</v>
      </c>
      <c r="C60" s="110">
        <f>Calc!C67</f>
        <v>3.2558999999999998E-2</v>
      </c>
      <c r="D60" s="111">
        <f>Calc!J67</f>
        <v>0.30389607426691395</v>
      </c>
      <c r="E60" s="111">
        <f>Calc!L67</f>
        <v>0.30920828723620003</v>
      </c>
      <c r="F60" s="112">
        <f>Calc!D67</f>
        <v>0.58852750860000003</v>
      </c>
      <c r="G60" s="110">
        <f>Calc!U67</f>
        <v>2.7012028344202868E-2</v>
      </c>
      <c r="H60" s="110">
        <f>Calc!X67</f>
        <v>1.5897321743646296E-2</v>
      </c>
      <c r="I60" s="110">
        <f>Calc!H67</f>
        <v>89781537736236</v>
      </c>
      <c r="J60" s="110">
        <f>Calc!O67</f>
        <v>2.1414537316007858E-5</v>
      </c>
    </row>
    <row r="61" spans="1:10">
      <c r="A61" s="110">
        <f>Calc!A68</f>
        <v>6.1879999999999999E-3</v>
      </c>
      <c r="B61" s="110">
        <f>Calc!B68</f>
        <v>0.58977100000000005</v>
      </c>
      <c r="C61" s="110">
        <f>Calc!C68</f>
        <v>3.0955E-2</v>
      </c>
      <c r="D61" s="111">
        <f>Calc!J68</f>
        <v>0.28892481276858384</v>
      </c>
      <c r="E61" s="111">
        <f>Calc!L68</f>
        <v>0.29381628858777736</v>
      </c>
      <c r="F61" s="112">
        <f>Calc!D68</f>
        <v>0.58635750860000002</v>
      </c>
      <c r="G61" s="110">
        <f>Calc!U68</f>
        <v>2.7613901667352142E-2</v>
      </c>
      <c r="H61" s="110">
        <f>Calc!X68</f>
        <v>1.6191618584393989E-2</v>
      </c>
      <c r="I61" s="110">
        <f>Calc!H68</f>
        <v>82591235852366</v>
      </c>
      <c r="J61" s="110">
        <f>Calc!O68</f>
        <v>2.0731507217588926E-5</v>
      </c>
    </row>
    <row r="62" spans="1:10">
      <c r="A62" s="110">
        <f>Calc!A69</f>
        <v>6.2919999999999998E-3</v>
      </c>
      <c r="B62" s="110">
        <f>Calc!B69</f>
        <v>0.58755299999999999</v>
      </c>
      <c r="C62" s="110">
        <f>Calc!C69</f>
        <v>2.945E-2</v>
      </c>
      <c r="D62" s="111">
        <f>Calc!J69</f>
        <v>0.27487758798367939</v>
      </c>
      <c r="E62" s="111">
        <f>Calc!L69</f>
        <v>0.27947216776254791</v>
      </c>
      <c r="F62" s="112">
        <f>Calc!D69</f>
        <v>0.58413950859999997</v>
      </c>
      <c r="G62" s="110">
        <f>Calc!U69</f>
        <v>2.8174799823981089E-2</v>
      </c>
      <c r="H62" s="110">
        <f>Calc!X69</f>
        <v>1.6458013724083679E-2</v>
      </c>
      <c r="I62" s="110">
        <f>Calc!H69</f>
        <v>75830577580943</v>
      </c>
      <c r="J62" s="110">
        <f>Calc!O69</f>
        <v>2.0011451070631518E-5</v>
      </c>
    </row>
    <row r="63" spans="1:10">
      <c r="A63" s="110">
        <f>Calc!A70</f>
        <v>6.3959999999999998E-3</v>
      </c>
      <c r="B63" s="110">
        <f>Calc!B70</f>
        <v>0.58533000000000002</v>
      </c>
      <c r="C63" s="110">
        <f>Calc!C70</f>
        <v>2.8034E-2</v>
      </c>
      <c r="D63" s="111">
        <f>Calc!J70</f>
        <v>0.26166106287044033</v>
      </c>
      <c r="E63" s="111">
        <f>Calc!L70</f>
        <v>0.26589146451847706</v>
      </c>
      <c r="F63" s="112">
        <f>Calc!D70</f>
        <v>0.58191650859999999</v>
      </c>
      <c r="G63" s="110">
        <f>Calc!U70</f>
        <v>2.8705846062933988E-2</v>
      </c>
      <c r="H63" s="110">
        <f>Calc!X70</f>
        <v>1.67044057173516E-2</v>
      </c>
      <c r="I63" s="110">
        <f>Calc!H70</f>
        <v>69604729451746.5</v>
      </c>
      <c r="J63" s="110">
        <f>Calc!O70</f>
        <v>1.9306659385433507E-5</v>
      </c>
    </row>
    <row r="64" spans="1:10">
      <c r="A64" s="110">
        <f>Calc!A71</f>
        <v>6.4999999999999997E-3</v>
      </c>
      <c r="B64" s="110">
        <f>Calc!B71</f>
        <v>0.58307900000000001</v>
      </c>
      <c r="C64" s="110">
        <f>Calc!C71</f>
        <v>2.6679000000000001E-2</v>
      </c>
      <c r="D64" s="111">
        <f>Calc!J71</f>
        <v>0.24901389371193827</v>
      </c>
      <c r="E64" s="111">
        <f>Calc!L71</f>
        <v>0.25294442903499764</v>
      </c>
      <c r="F64" s="112">
        <f>Calc!D71</f>
        <v>0.57966550859999999</v>
      </c>
      <c r="G64" s="110">
        <f>Calc!U71</f>
        <v>2.9212113991444487E-2</v>
      </c>
      <c r="H64" s="110">
        <f>Calc!X71</f>
        <v>1.6933254914131845E-2</v>
      </c>
      <c r="I64" s="110">
        <f>Calc!H71</f>
        <v>63816656639357.5</v>
      </c>
      <c r="J64" s="110">
        <f>Calc!O71</f>
        <v>1.860722932046345E-5</v>
      </c>
    </row>
    <row r="65" spans="1:10">
      <c r="A65" s="110">
        <f>Calc!A72</f>
        <v>6.6039999999999996E-3</v>
      </c>
      <c r="B65" s="110">
        <f>Calc!B72</f>
        <v>0.580789</v>
      </c>
      <c r="C65" s="110">
        <f>Calc!C72</f>
        <v>2.5420999999999999E-2</v>
      </c>
      <c r="D65" s="111">
        <f>Calc!J72</f>
        <v>0.23727209385850978</v>
      </c>
      <c r="E65" s="111">
        <f>Calc!L72</f>
        <v>0.24093513235448275</v>
      </c>
      <c r="F65" s="112">
        <f>Calc!D72</f>
        <v>0.57737550859999998</v>
      </c>
      <c r="G65" s="110">
        <f>Calc!U72</f>
        <v>2.9681713519542661E-2</v>
      </c>
      <c r="H65" s="110">
        <f>Calc!X72</f>
        <v>1.7137494439465439E-2</v>
      </c>
      <c r="I65" s="110">
        <f>Calc!H72</f>
        <v>58418061308845.5</v>
      </c>
      <c r="J65" s="110">
        <f>Calc!O72</f>
        <v>1.7882152293187022E-5</v>
      </c>
    </row>
    <row r="66" spans="1:10">
      <c r="A66" s="110">
        <f>Calc!A73</f>
        <v>6.7080000000000004E-3</v>
      </c>
      <c r="B66" s="110">
        <f>Calc!B73</f>
        <v>0.57847000000000004</v>
      </c>
      <c r="C66" s="110">
        <f>Calc!C73</f>
        <v>2.4197E-2</v>
      </c>
      <c r="D66" s="111">
        <f>Calc!J73</f>
        <v>0.22584763994706586</v>
      </c>
      <c r="E66" s="111">
        <f>Calc!L73</f>
        <v>0.22924155228437829</v>
      </c>
      <c r="F66" s="112">
        <f>Calc!D73</f>
        <v>0.57505650860000002</v>
      </c>
      <c r="G66" s="110">
        <f>Calc!U73</f>
        <v>3.0138967581023957E-2</v>
      </c>
      <c r="H66" s="110">
        <f>Calc!X73</f>
        <v>1.7331609469952224E-2</v>
      </c>
      <c r="I66" s="110">
        <f>Calc!H73</f>
        <v>53412975213026</v>
      </c>
      <c r="J66" s="110">
        <f>Calc!O73</f>
        <v>1.7184077006521924E-5</v>
      </c>
    </row>
    <row r="67" spans="1:10">
      <c r="A67" s="110">
        <f>Calc!A74</f>
        <v>6.8120000000000003E-3</v>
      </c>
      <c r="B67" s="110">
        <f>Calc!B74</f>
        <v>0.57609699999999997</v>
      </c>
      <c r="C67" s="110">
        <f>Calc!C74</f>
        <v>2.3047000000000002E-2</v>
      </c>
      <c r="D67" s="111">
        <f>Calc!J74</f>
        <v>0.21511388014464716</v>
      </c>
      <c r="E67" s="111">
        <f>Calc!L74</f>
        <v>0.21828447697739248</v>
      </c>
      <c r="F67" s="112">
        <f>Calc!D74</f>
        <v>0.57268350859999995</v>
      </c>
      <c r="G67" s="110">
        <f>Calc!U74</f>
        <v>3.0567422096753019E-2</v>
      </c>
      <c r="H67" s="110">
        <f>Calc!X74</f>
        <v>1.7505458535225685E-2</v>
      </c>
      <c r="I67" s="110">
        <f>Calc!H74</f>
        <v>48732023722439.5</v>
      </c>
      <c r="J67" s="110">
        <f>Calc!O74</f>
        <v>1.6465100104841407E-5</v>
      </c>
    </row>
    <row r="68" spans="1:10">
      <c r="A68" s="110">
        <f>Calc!A75</f>
        <v>6.9160000000000003E-3</v>
      </c>
      <c r="B68" s="110">
        <f>Calc!B75</f>
        <v>0.57371499999999997</v>
      </c>
      <c r="C68" s="110">
        <f>Calc!C75</f>
        <v>2.1957999999999998E-2</v>
      </c>
      <c r="D68" s="111">
        <f>Calc!J75</f>
        <v>0.20494947629696539</v>
      </c>
      <c r="E68" s="111">
        <f>Calc!L75</f>
        <v>0.20785370226104416</v>
      </c>
      <c r="F68" s="112">
        <f>Calc!D75</f>
        <v>0.57030150859999995</v>
      </c>
      <c r="G68" s="110">
        <f>Calc!U75</f>
        <v>3.0975296680486389E-2</v>
      </c>
      <c r="H68" s="110">
        <f>Calc!X75</f>
        <v>1.766525842621396E-2</v>
      </c>
      <c r="I68" s="110">
        <f>Calc!H75</f>
        <v>44443342821359.5</v>
      </c>
      <c r="J68" s="110">
        <f>Calc!O75</f>
        <v>1.5769638350601431E-5</v>
      </c>
    </row>
    <row r="69" spans="1:10">
      <c r="A69" s="110">
        <f>Calc!A76</f>
        <v>7.0200000000000002E-3</v>
      </c>
      <c r="B69" s="110">
        <f>Calc!B76</f>
        <v>0.57125899999999996</v>
      </c>
      <c r="C69" s="110">
        <f>Calc!C76</f>
        <v>2.0899000000000001E-2</v>
      </c>
      <c r="D69" s="111">
        <f>Calc!J76</f>
        <v>0.19506508357456417</v>
      </c>
      <c r="E69" s="111">
        <f>Calc!L76</f>
        <v>0.19778954863658033</v>
      </c>
      <c r="F69" s="112">
        <f>Calc!D76</f>
        <v>0.56784550859999994</v>
      </c>
      <c r="G69" s="110">
        <f>Calc!U76</f>
        <v>3.1368835279663797E-2</v>
      </c>
      <c r="H69" s="110">
        <f>Calc!X76</f>
        <v>1.781265222357031E-2</v>
      </c>
      <c r="I69" s="110">
        <f>Calc!H76</f>
        <v>40414085913912.5</v>
      </c>
      <c r="J69" s="110">
        <f>Calc!O76</f>
        <v>1.5069616560441824E-5</v>
      </c>
    </row>
    <row r="70" spans="1:10">
      <c r="A70" s="110">
        <f>Calc!A77</f>
        <v>7.1240000000000001E-3</v>
      </c>
      <c r="B70" s="110">
        <f>Calc!B77</f>
        <v>0.56875900000000001</v>
      </c>
      <c r="C70" s="110">
        <f>Calc!C77</f>
        <v>1.9893999999999998E-2</v>
      </c>
      <c r="D70" s="111">
        <f>Calc!J77</f>
        <v>0.1856847108776678</v>
      </c>
      <c r="E70" s="111">
        <f>Calc!L77</f>
        <v>0.18820342024029943</v>
      </c>
      <c r="F70" s="112">
        <f>Calc!D77</f>
        <v>0.56534550859999999</v>
      </c>
      <c r="G70" s="110">
        <f>Calc!U77</f>
        <v>3.174368165834357E-2</v>
      </c>
      <c r="H70" s="110">
        <f>Calc!X77</f>
        <v>1.7946147851972738E-2</v>
      </c>
      <c r="I70" s="110">
        <f>Calc!H77</f>
        <v>36685730616452</v>
      </c>
      <c r="J70" s="110">
        <f>Calc!O77</f>
        <v>1.4376144921590479E-5</v>
      </c>
    </row>
    <row r="71" spans="1:10">
      <c r="A71" s="110">
        <f>Calc!A78</f>
        <v>7.228E-3</v>
      </c>
      <c r="B71" s="110">
        <f>Calc!B78</f>
        <v>0.56624799999999997</v>
      </c>
      <c r="C71" s="110">
        <f>Calc!C78</f>
        <v>1.8943999999999999E-2</v>
      </c>
      <c r="D71" s="111">
        <f>Calc!J78</f>
        <v>0.17681769191045235</v>
      </c>
      <c r="E71" s="111">
        <f>Calc!L78</f>
        <v>0.17911408014113142</v>
      </c>
      <c r="F71" s="112">
        <f>Calc!D78</f>
        <v>0.56283450859999995</v>
      </c>
      <c r="G71" s="110">
        <f>Calc!U78</f>
        <v>3.2099102124241337E-2</v>
      </c>
      <c r="H71" s="110">
        <f>Calc!X78</f>
        <v>1.8066482370598588E-2</v>
      </c>
      <c r="I71" s="110">
        <f>Calc!H78</f>
        <v>33285578272474.5</v>
      </c>
      <c r="J71" s="110">
        <f>Calc!O78</f>
        <v>1.370563495622702E-5</v>
      </c>
    </row>
    <row r="72" spans="1:10">
      <c r="A72" s="110">
        <f>Calc!A79</f>
        <v>7.332E-3</v>
      </c>
      <c r="B72" s="110">
        <f>Calc!B79</f>
        <v>0.56363399999999997</v>
      </c>
      <c r="C72" s="110">
        <f>Calc!C79</f>
        <v>1.8053E-2</v>
      </c>
      <c r="D72" s="111">
        <f>Calc!J79</f>
        <v>0.16850136148962186</v>
      </c>
      <c r="E72" s="111">
        <f>Calc!L79</f>
        <v>0.1706625913662263</v>
      </c>
      <c r="F72" s="112">
        <f>Calc!D79</f>
        <v>0.56022050859999994</v>
      </c>
      <c r="G72" s="110">
        <f>Calc!U79</f>
        <v>3.2429580689806455E-2</v>
      </c>
      <c r="H72" s="110">
        <f>Calc!X79</f>
        <v>1.8167716187728108E-2</v>
      </c>
      <c r="I72" s="110">
        <f>Calc!H79</f>
        <v>30078936943483.5</v>
      </c>
      <c r="J72" s="110">
        <f>Calc!O79</f>
        <v>1.2998610444296059E-5</v>
      </c>
    </row>
    <row r="73" spans="1:10">
      <c r="A73" s="110">
        <f>Calc!A80</f>
        <v>7.4359999999999999E-3</v>
      </c>
      <c r="B73" s="110">
        <f>Calc!B80</f>
        <v>0.56100300000000003</v>
      </c>
      <c r="C73" s="110">
        <f>Calc!C80</f>
        <v>1.7203E-2</v>
      </c>
      <c r="D73" s="111">
        <f>Calc!J80</f>
        <v>0.16056771294000802</v>
      </c>
      <c r="E73" s="111">
        <f>Calc!L80</f>
        <v>0.16253284330932574</v>
      </c>
      <c r="F73" s="112">
        <f>Calc!D80</f>
        <v>0.55758950860000001</v>
      </c>
      <c r="G73" s="110">
        <f>Calc!U80</f>
        <v>3.2747478228075437E-2</v>
      </c>
      <c r="H73" s="110">
        <f>Calc!X80</f>
        <v>1.8259650293081783E-2</v>
      </c>
      <c r="I73" s="110">
        <f>Calc!H80</f>
        <v>27162154337764.5</v>
      </c>
      <c r="J73" s="110">
        <f>Calc!O80</f>
        <v>1.2325253510302375E-5</v>
      </c>
    </row>
    <row r="74" spans="1:10">
      <c r="A74" s="110">
        <f>Calc!A81</f>
        <v>7.5399999999999998E-3</v>
      </c>
      <c r="B74" s="110">
        <f>Calc!B81</f>
        <v>0.55831399999999998</v>
      </c>
      <c r="C74" s="110">
        <f>Calc!C81</f>
        <v>1.6383000000000002E-2</v>
      </c>
      <c r="D74" s="111">
        <f>Calc!J81</f>
        <v>0.15291407551567468</v>
      </c>
      <c r="E74" s="111">
        <f>Calc!L81</f>
        <v>0.15472428666685956</v>
      </c>
      <c r="F74" s="112">
        <f>Calc!D81</f>
        <v>0.55490050859999995</v>
      </c>
      <c r="G74" s="110">
        <f>Calc!U81</f>
        <v>3.3052816218465793E-2</v>
      </c>
      <c r="H74" s="110">
        <f>Calc!X81</f>
        <v>1.8341024530288994E-2</v>
      </c>
      <c r="I74" s="110">
        <f>Calc!H81</f>
        <v>24472143653611.5</v>
      </c>
      <c r="J74" s="110">
        <f>Calc!O81</f>
        <v>1.166504195828711E-5</v>
      </c>
    </row>
    <row r="75" spans="1:10">
      <c r="A75" s="110">
        <f>Calc!A82</f>
        <v>7.6439999999999998E-3</v>
      </c>
      <c r="B75" s="110">
        <f>Calc!B82</f>
        <v>0.55551799999999996</v>
      </c>
      <c r="C75" s="110">
        <f>Calc!C82</f>
        <v>1.5594999999999999E-2</v>
      </c>
      <c r="D75" s="111">
        <f>Calc!J82</f>
        <v>0.14555911662497384</v>
      </c>
      <c r="E75" s="111">
        <f>Calc!L82</f>
        <v>0.14724844563855999</v>
      </c>
      <c r="F75" s="112">
        <f>Calc!D82</f>
        <v>0.55210450859999993</v>
      </c>
      <c r="G75" s="110">
        <f>Calc!U82</f>
        <v>3.3345144030195388E-2</v>
      </c>
      <c r="H75" s="110">
        <f>Calc!X82</f>
        <v>1.8410004358987247E-2</v>
      </c>
      <c r="I75" s="110">
        <f>Calc!H82</f>
        <v>21956380591346</v>
      </c>
      <c r="J75" s="110">
        <f>Calc!O82</f>
        <v>1.099721744232665E-5</v>
      </c>
    </row>
    <row r="76" spans="1:10">
      <c r="A76" s="110">
        <f>Calc!A83</f>
        <v>7.7479999999999997E-3</v>
      </c>
      <c r="B76" s="110">
        <f>Calc!B83</f>
        <v>0.55268499999999998</v>
      </c>
      <c r="C76" s="110">
        <f>Calc!C83</f>
        <v>1.4874999999999999E-2</v>
      </c>
      <c r="D76" s="111">
        <f>Calc!J83</f>
        <v>0.13883884961824211</v>
      </c>
      <c r="E76" s="111">
        <f>Calc!L83</f>
        <v>0.14037279389928642</v>
      </c>
      <c r="F76" s="112">
        <f>Calc!D83</f>
        <v>0.54927150859999996</v>
      </c>
      <c r="G76" s="110">
        <f>Calc!U83</f>
        <v>3.3614002640156203E-2</v>
      </c>
      <c r="H76" s="110">
        <f>Calc!X83</f>
        <v>1.846321394024298E-2</v>
      </c>
      <c r="I76" s="110">
        <f>Calc!H83</f>
        <v>19670270479013.5</v>
      </c>
      <c r="J76" s="110">
        <f>Calc!O83</f>
        <v>1.0334754604353553E-5</v>
      </c>
    </row>
    <row r="77" spans="1:10">
      <c r="A77" s="110">
        <f>Calc!A84</f>
        <v>7.8519999999999996E-3</v>
      </c>
      <c r="B77" s="110">
        <f>Calc!B84</f>
        <v>0.54980399999999996</v>
      </c>
      <c r="C77" s="110">
        <f>Calc!C84</f>
        <v>1.4161999999999999E-2</v>
      </c>
      <c r="D77" s="111">
        <f>Calc!J84</f>
        <v>0.13218391854074252</v>
      </c>
      <c r="E77" s="111">
        <f>Calc!L84</f>
        <v>0.13357918291418999</v>
      </c>
      <c r="F77" s="112">
        <f>Calc!D84</f>
        <v>0.54639050859999994</v>
      </c>
      <c r="G77" s="110">
        <f>Calc!U84</f>
        <v>3.3879653210506427E-2</v>
      </c>
      <c r="H77" s="110">
        <f>Calc!X84</f>
        <v>1.8511520948880228E-2</v>
      </c>
      <c r="I77" s="110">
        <f>Calc!H84</f>
        <v>17588803930515.5</v>
      </c>
      <c r="J77" s="110">
        <f>Calc!O84</f>
        <v>9.711142033972285E-6</v>
      </c>
    </row>
    <row r="78" spans="1:10">
      <c r="A78" s="110">
        <f>Calc!A85</f>
        <v>7.9559999999999995E-3</v>
      </c>
      <c r="B78" s="110">
        <f>Calc!B85</f>
        <v>0.54684900000000003</v>
      </c>
      <c r="C78" s="110">
        <f>Calc!C85</f>
        <v>1.3507E-2</v>
      </c>
      <c r="D78" s="111">
        <f>Calc!J85</f>
        <v>0.12607034230545186</v>
      </c>
      <c r="E78" s="111">
        <f>Calc!L85</f>
        <v>0.12734663220065642</v>
      </c>
      <c r="F78" s="112">
        <f>Calc!D85</f>
        <v>0.54343550860000001</v>
      </c>
      <c r="G78" s="110">
        <f>Calc!U85</f>
        <v>3.4123364641057731E-2</v>
      </c>
      <c r="H78" s="110">
        <f>Calc!X85</f>
        <v>1.8543848018856463E-2</v>
      </c>
      <c r="I78" s="110">
        <f>Calc!H85</f>
        <v>15681982960521</v>
      </c>
      <c r="J78" s="110">
        <f>Calc!O85</f>
        <v>9.0821003153919563E-6</v>
      </c>
    </row>
    <row r="79" spans="1:10">
      <c r="A79" s="110">
        <f>Calc!A86</f>
        <v>8.0599999999999995E-3</v>
      </c>
      <c r="B79" s="110">
        <f>Calc!B86</f>
        <v>0.54378599999999999</v>
      </c>
      <c r="C79" s="110">
        <f>Calc!C86</f>
        <v>1.2865E-2</v>
      </c>
      <c r="D79" s="111">
        <f>Calc!J86</f>
        <v>0.12007810422444941</v>
      </c>
      <c r="E79" s="111">
        <f>Calc!L86</f>
        <v>0.12125293217721075</v>
      </c>
      <c r="F79" s="112">
        <f>Calc!D86</f>
        <v>0.54037250859999997</v>
      </c>
      <c r="G79" s="110">
        <f>Calc!U86</f>
        <v>3.4361646593074523E-2</v>
      </c>
      <c r="H79" s="110">
        <f>Calc!X86</f>
        <v>1.8568089169126323E-2</v>
      </c>
      <c r="I79" s="110">
        <f>Calc!H86</f>
        <v>13922948855768</v>
      </c>
      <c r="J79" s="110">
        <f>Calc!O86</f>
        <v>8.4686027109681387E-6</v>
      </c>
    </row>
    <row r="80" spans="1:10">
      <c r="A80" s="110">
        <f>Calc!A87</f>
        <v>8.1639999999999994E-3</v>
      </c>
      <c r="B80" s="110">
        <f>Calc!B87</f>
        <v>0.54062200000000005</v>
      </c>
      <c r="C80" s="110">
        <f>Calc!C87</f>
        <v>1.2241E-2</v>
      </c>
      <c r="D80" s="111">
        <f>Calc!J87</f>
        <v>0.11425387281861525</v>
      </c>
      <c r="E80" s="111">
        <f>Calc!L87</f>
        <v>0.11532730401829751</v>
      </c>
      <c r="F80" s="112">
        <f>Calc!D87</f>
        <v>0.53720850860000002</v>
      </c>
      <c r="G80" s="110">
        <f>Calc!U87</f>
        <v>3.4593356430972513E-2</v>
      </c>
      <c r="H80" s="110">
        <f>Calc!X87</f>
        <v>1.8583845415750963E-2</v>
      </c>
      <c r="I80" s="110">
        <f>Calc!H87</f>
        <v>12312474093975.5</v>
      </c>
      <c r="J80" s="110">
        <f>Calc!O87</f>
        <v>7.8738288600384697E-6</v>
      </c>
    </row>
    <row r="81" spans="1:10">
      <c r="A81" s="110">
        <f>Calc!A88</f>
        <v>8.2679999999999993E-3</v>
      </c>
      <c r="B81" s="110">
        <f>Calc!B88</f>
        <v>0.53740299999999996</v>
      </c>
      <c r="C81" s="110">
        <f>Calc!C88</f>
        <v>1.1672E-2</v>
      </c>
      <c r="D81" s="111">
        <f>Calc!J88</f>
        <v>0.10894299514246199</v>
      </c>
      <c r="E81" s="111">
        <f>Calc!L88</f>
        <v>0.1099068686643587</v>
      </c>
      <c r="F81" s="112">
        <f>Calc!D88</f>
        <v>0.53398950859999994</v>
      </c>
      <c r="G81" s="110">
        <f>Calc!U88</f>
        <v>3.4805311714617579E-2</v>
      </c>
      <c r="H81" s="110">
        <f>Calc!X88</f>
        <v>1.8585671299158463E-2</v>
      </c>
      <c r="I81" s="110">
        <f>Calc!H88</f>
        <v>10864756181267.5</v>
      </c>
      <c r="J81" s="110">
        <f>Calc!O88</f>
        <v>7.2906782257053265E-6</v>
      </c>
    </row>
    <row r="82" spans="1:10">
      <c r="A82" s="110">
        <f>Calc!A89</f>
        <v>8.3719999999999992E-3</v>
      </c>
      <c r="B82" s="110">
        <f>Calc!B89</f>
        <v>0.53406799999999999</v>
      </c>
      <c r="C82" s="110">
        <f>Calc!C89</f>
        <v>1.1110999999999999E-2</v>
      </c>
      <c r="D82" s="111">
        <f>Calc!J89</f>
        <v>0.10370678709971685</v>
      </c>
      <c r="E82" s="111">
        <f>Calc!L89</f>
        <v>0.10458415206100591</v>
      </c>
      <c r="F82" s="112">
        <f>Calc!D89</f>
        <v>0.53065450859999996</v>
      </c>
      <c r="G82" s="110">
        <f>Calc!U89</f>
        <v>3.5013445901958484E-2</v>
      </c>
      <c r="H82" s="110">
        <f>Calc!X89</f>
        <v>1.858004292949646E-2</v>
      </c>
      <c r="I82" s="110">
        <f>Calc!H89</f>
        <v>9543907700882.5</v>
      </c>
      <c r="J82" s="110">
        <f>Calc!O89</f>
        <v>6.7302799920399791E-6</v>
      </c>
    </row>
    <row r="83" spans="1:10">
      <c r="A83" s="110">
        <f>Calc!A90</f>
        <v>8.4759999999999992E-3</v>
      </c>
      <c r="B83" s="110">
        <f>Calc!B90</f>
        <v>0.53058499999999997</v>
      </c>
      <c r="C83" s="110">
        <f>Calc!C90</f>
        <v>1.0584E-2</v>
      </c>
      <c r="D83" s="111">
        <f>Calc!J90</f>
        <v>9.8787924998956278E-2</v>
      </c>
      <c r="E83" s="111">
        <f>Calc!L90</f>
        <v>9.9588326987913256E-2</v>
      </c>
      <c r="F83" s="112">
        <f>Calc!D90</f>
        <v>0.52717150859999995</v>
      </c>
      <c r="G83" s="110">
        <f>Calc!U90</f>
        <v>3.520879764979163E-2</v>
      </c>
      <c r="H83" s="110">
        <f>Calc!X90</f>
        <v>1.8561074973032787E-2</v>
      </c>
      <c r="I83" s="110">
        <f>Calc!H90</f>
        <v>8335353597522.5</v>
      </c>
      <c r="J83" s="110">
        <f>Calc!O90</f>
        <v>6.172887646508734E-6</v>
      </c>
    </row>
    <row r="84" spans="1:10">
      <c r="A84" s="110">
        <f>Calc!A91</f>
        <v>8.5800000000000008E-3</v>
      </c>
      <c r="B84" s="110">
        <f>Calc!B91</f>
        <v>0.52701399999999998</v>
      </c>
      <c r="C84" s="110">
        <f>Calc!C91</f>
        <v>1.0089000000000001E-2</v>
      </c>
      <c r="D84" s="111">
        <f>Calc!J91</f>
        <v>9.4167741431828225E-2</v>
      </c>
      <c r="E84" s="111">
        <f>Calc!L91</f>
        <v>9.48820928981738E-2</v>
      </c>
      <c r="F84" s="112">
        <f>Calc!D91</f>
        <v>0.52360050859999996</v>
      </c>
      <c r="G84" s="110">
        <f>Calc!U91</f>
        <v>3.5392825521402708E-2</v>
      </c>
      <c r="H84" s="110">
        <f>Calc!X91</f>
        <v>1.8531701443797517E-2</v>
      </c>
      <c r="I84" s="110">
        <f>Calc!H91</f>
        <v>7254819921538.5</v>
      </c>
      <c r="J84" s="110">
        <f>Calc!O91</f>
        <v>5.6391696759729812E-6</v>
      </c>
    </row>
    <row r="85" spans="1:10">
      <c r="A85" s="110">
        <f>Calc!A92</f>
        <v>8.6840000000000007E-3</v>
      </c>
      <c r="B85" s="110">
        <f>Calc!B92</f>
        <v>0.52336199999999999</v>
      </c>
      <c r="C85" s="110">
        <f>Calc!C92</f>
        <v>9.5879999999999993E-3</v>
      </c>
      <c r="D85" s="111">
        <f>Calc!J92</f>
        <v>8.949155563964406E-2</v>
      </c>
      <c r="E85" s="111">
        <f>Calc!L92</f>
        <v>9.0125478913470156E-2</v>
      </c>
      <c r="F85" s="112">
        <f>Calc!D92</f>
        <v>0.51994850859999997</v>
      </c>
      <c r="G85" s="110">
        <f>Calc!U92</f>
        <v>3.5578823398046577E-2</v>
      </c>
      <c r="H85" s="110">
        <f>Calc!X92</f>
        <v>1.8499156163557101E-2</v>
      </c>
      <c r="I85" s="110">
        <f>Calc!H92</f>
        <v>6294378501918</v>
      </c>
      <c r="J85" s="110">
        <f>Calc!O92</f>
        <v>5.1508398911764453E-6</v>
      </c>
    </row>
    <row r="86" spans="1:10">
      <c r="A86" s="110">
        <f>Calc!A93</f>
        <v>8.7880000000000007E-3</v>
      </c>
      <c r="B86" s="110">
        <f>Calc!B93</f>
        <v>0.51960399999999995</v>
      </c>
      <c r="C86" s="110">
        <f>Calc!C93</f>
        <v>9.1199999999999996E-3</v>
      </c>
      <c r="D86" s="111">
        <f>Calc!J93</f>
        <v>8.5123382085268443E-2</v>
      </c>
      <c r="E86" s="111">
        <f>Calc!L93</f>
        <v>8.5687074560496485E-2</v>
      </c>
      <c r="F86" s="112">
        <f>Calc!D93</f>
        <v>0.51619050859999993</v>
      </c>
      <c r="G86" s="110">
        <f>Calc!U93</f>
        <v>3.5752378323460905E-2</v>
      </c>
      <c r="H86" s="110">
        <f>Calc!X93</f>
        <v>1.8455038350446897E-2</v>
      </c>
      <c r="I86" s="110">
        <f>Calc!H93</f>
        <v>5438523686167.5</v>
      </c>
      <c r="J86" s="110">
        <f>Calc!O93</f>
        <v>4.680998366054487E-6</v>
      </c>
    </row>
    <row r="87" spans="1:10">
      <c r="A87" s="110">
        <f>Calc!A94</f>
        <v>8.8920000000000006E-3</v>
      </c>
      <c r="B87" s="110">
        <f>Calc!B94</f>
        <v>0.51571500000000003</v>
      </c>
      <c r="C87" s="110">
        <f>Calc!C94</f>
        <v>8.6859999999999993E-3</v>
      </c>
      <c r="D87" s="111">
        <f>Calc!J94</f>
        <v>8.1072554472877381E-2</v>
      </c>
      <c r="E87" s="111">
        <f>Calc!L94</f>
        <v>8.1574062053157398E-2</v>
      </c>
      <c r="F87" s="112">
        <f>Calc!D94</f>
        <v>0.51230150860000001</v>
      </c>
      <c r="G87" s="110">
        <f>Calc!U94</f>
        <v>3.5913209451535387E-2</v>
      </c>
      <c r="H87" s="110">
        <f>Calc!X94</f>
        <v>1.8398391380689359E-2</v>
      </c>
      <c r="I87" s="110">
        <f>Calc!H94</f>
        <v>4675082592218.5</v>
      </c>
      <c r="J87" s="110">
        <f>Calc!O94</f>
        <v>4.226783270692687E-6</v>
      </c>
    </row>
    <row r="88" spans="1:10">
      <c r="A88" s="110">
        <f>Calc!A95</f>
        <v>8.9960000000000005E-3</v>
      </c>
      <c r="B88" s="110">
        <f>Calc!B95</f>
        <v>0.51172300000000004</v>
      </c>
      <c r="C88" s="110">
        <f>Calc!C95</f>
        <v>8.2710000000000006E-3</v>
      </c>
      <c r="D88" s="111">
        <f>Calc!J95</f>
        <v>7.7199067239830638E-2</v>
      </c>
      <c r="E88" s="111">
        <f>Calc!L95</f>
        <v>7.7639857720459934E-2</v>
      </c>
      <c r="F88" s="112">
        <f>Calc!D95</f>
        <v>0.50830950860000002</v>
      </c>
      <c r="G88" s="110">
        <f>Calc!U95</f>
        <v>3.6067048643556858E-2</v>
      </c>
      <c r="H88" s="110">
        <f>Calc!X95</f>
        <v>1.8333223772658683E-2</v>
      </c>
      <c r="I88" s="110">
        <f>Calc!H95</f>
        <v>4002681402754</v>
      </c>
      <c r="J88" s="110">
        <f>Calc!O95</f>
        <v>3.8022360360622993E-6</v>
      </c>
    </row>
    <row r="89" spans="1:10">
      <c r="A89" s="110">
        <f>Calc!A96</f>
        <v>9.1000000000000004E-3</v>
      </c>
      <c r="B89" s="110">
        <f>Calc!B96</f>
        <v>0.50756500000000004</v>
      </c>
      <c r="C89" s="110">
        <f>Calc!C96</f>
        <v>7.8829999999999994E-3</v>
      </c>
      <c r="D89" s="111">
        <f>Calc!J96</f>
        <v>7.3577590019536301E-2</v>
      </c>
      <c r="E89" s="111">
        <f>Calc!L96</f>
        <v>7.3968173025991346E-2</v>
      </c>
      <c r="F89" s="112">
        <f>Calc!D96</f>
        <v>0.50415150860000002</v>
      </c>
      <c r="G89" s="110">
        <f>Calc!U96</f>
        <v>3.621062253016466E-2</v>
      </c>
      <c r="H89" s="110">
        <f>Calc!X96</f>
        <v>1.8255639975927662E-2</v>
      </c>
      <c r="I89" s="110">
        <f>Calc!H96</f>
        <v>3404883829752</v>
      </c>
      <c r="J89" s="110">
        <f>Calc!O96</f>
        <v>3.3949250282157351E-6</v>
      </c>
    </row>
    <row r="90" spans="1:10">
      <c r="A90" s="110">
        <f>Calc!A97</f>
        <v>9.2040000000000004E-3</v>
      </c>
      <c r="B90" s="110">
        <f>Calc!B97</f>
        <v>0.50332500000000002</v>
      </c>
      <c r="C90" s="110">
        <f>Calc!C97</f>
        <v>7.509E-3</v>
      </c>
      <c r="D90" s="111">
        <f>Calc!J97</f>
        <v>7.0086784657706222E-2</v>
      </c>
      <c r="E90" s="111">
        <f>Calc!L97</f>
        <v>7.0424527540739898E-2</v>
      </c>
      <c r="F90" s="112">
        <f>Calc!D97</f>
        <v>0.4999115086</v>
      </c>
      <c r="G90" s="110">
        <f>Calc!U97</f>
        <v>3.6349189699574444E-2</v>
      </c>
      <c r="H90" s="110">
        <f>Calc!X97</f>
        <v>1.8171378259101843E-2</v>
      </c>
      <c r="I90" s="110">
        <f>Calc!H97</f>
        <v>2887105671492</v>
      </c>
      <c r="J90" s="110">
        <f>Calc!O97</f>
        <v>3.0235107621397264E-6</v>
      </c>
    </row>
    <row r="91" spans="1:10">
      <c r="A91" s="110">
        <f>Calc!A98</f>
        <v>9.3080000000000003E-3</v>
      </c>
      <c r="B91" s="110">
        <f>Calc!B98</f>
        <v>0.49892399999999998</v>
      </c>
      <c r="C91" s="110">
        <f>Calc!C98</f>
        <v>7.1149999999999998E-3</v>
      </c>
      <c r="D91" s="111">
        <f>Calc!J98</f>
        <v>6.6409305212355815E-2</v>
      </c>
      <c r="E91" s="111">
        <f>Calc!L98</f>
        <v>6.6704721292474844E-2</v>
      </c>
      <c r="F91" s="112">
        <f>Calc!D98</f>
        <v>0.49551050859999995</v>
      </c>
      <c r="G91" s="110">
        <f>Calc!U98</f>
        <v>3.6494645283300355E-2</v>
      </c>
      <c r="H91" s="110">
        <f>Calc!X98</f>
        <v>1.8083480245504747E-2</v>
      </c>
      <c r="I91" s="110">
        <f>Calc!H98</f>
        <v>2432751719990</v>
      </c>
      <c r="J91" s="110">
        <f>Calc!O98</f>
        <v>2.6897628773955216E-6</v>
      </c>
    </row>
    <row r="92" spans="1:10">
      <c r="A92" s="110">
        <f>Calc!A99</f>
        <v>9.4120000000000002E-3</v>
      </c>
      <c r="B92" s="110">
        <f>Calc!B99</f>
        <v>0.49443599999999999</v>
      </c>
      <c r="C92" s="110">
        <f>Calc!C99</f>
        <v>6.7910000000000002E-3</v>
      </c>
      <c r="D92" s="111">
        <f>Calc!J99</f>
        <v>6.338518505932654E-2</v>
      </c>
      <c r="E92" s="111">
        <f>Calc!L99</f>
        <v>6.3638184560383004E-2</v>
      </c>
      <c r="F92" s="112">
        <f>Calc!D99</f>
        <v>0.49102250859999996</v>
      </c>
      <c r="G92" s="110">
        <f>Calc!U99</f>
        <v>3.6614556069135343E-2</v>
      </c>
      <c r="H92" s="110">
        <f>Calc!X99</f>
        <v>1.7978571172342191E-2</v>
      </c>
      <c r="I92" s="110">
        <f>Calc!H99</f>
        <v>2042953176656</v>
      </c>
      <c r="J92" s="110">
        <f>Calc!O99</f>
        <v>2.3676276992012336E-6</v>
      </c>
    </row>
    <row r="93" spans="1:10">
      <c r="A93" s="110">
        <f>Calc!A100</f>
        <v>9.5160000000000002E-3</v>
      </c>
      <c r="B93" s="110">
        <f>Calc!B100</f>
        <v>0.48977900000000002</v>
      </c>
      <c r="C93" s="110">
        <f>Calc!C100</f>
        <v>6.4400000000000004E-3</v>
      </c>
      <c r="D93" s="111">
        <f>Calc!J100</f>
        <v>6.010905489354483E-2</v>
      </c>
      <c r="E93" s="111">
        <f>Calc!L100</f>
        <v>6.0328080185423641E-2</v>
      </c>
      <c r="F93" s="112">
        <f>Calc!D100</f>
        <v>0.4863655086</v>
      </c>
      <c r="G93" s="110">
        <f>Calc!U100</f>
        <v>3.6743991080509374E-2</v>
      </c>
      <c r="H93" s="110">
        <f>Calc!X100</f>
        <v>1.7871009909865804E-2</v>
      </c>
      <c r="I93" s="110">
        <f>Calc!H100</f>
        <v>1704351908860</v>
      </c>
      <c r="J93" s="110">
        <f>Calc!O100</f>
        <v>2.0835913575814904E-6</v>
      </c>
    </row>
    <row r="94" spans="1:10">
      <c r="A94" s="110">
        <f>Calc!A101</f>
        <v>9.6200000000000001E-3</v>
      </c>
      <c r="B94" s="110">
        <f>Calc!B101</f>
        <v>0.48504599999999998</v>
      </c>
      <c r="C94" s="110">
        <f>Calc!C101</f>
        <v>6.1279999999999998E-3</v>
      </c>
      <c r="D94" s="111">
        <f>Calc!J101</f>
        <v>5.7196939190627745E-2</v>
      </c>
      <c r="E94" s="111">
        <f>Calc!L101</f>
        <v>5.7382102461280518E-2</v>
      </c>
      <c r="F94" s="112">
        <f>Calc!D101</f>
        <v>0.48163250859999995</v>
      </c>
      <c r="G94" s="110">
        <f>Calc!U101</f>
        <v>3.6859187647456548E-2</v>
      </c>
      <c r="H94" s="110">
        <f>Calc!X101</f>
        <v>1.7752583011602627E-2</v>
      </c>
      <c r="I94" s="110">
        <f>Calc!H101</f>
        <v>1417660842568.5</v>
      </c>
      <c r="J94" s="110">
        <f>Calc!O101</f>
        <v>1.8220851483737313E-6</v>
      </c>
    </row>
    <row r="95" spans="1:10">
      <c r="A95" s="110">
        <f>Calc!A102</f>
        <v>9.724E-3</v>
      </c>
      <c r="B95" s="110">
        <f>Calc!B102</f>
        <v>0.48014299999999999</v>
      </c>
      <c r="C95" s="110">
        <f>Calc!C102</f>
        <v>5.8339999999999998E-3</v>
      </c>
      <c r="D95" s="111">
        <f>Calc!J102</f>
        <v>5.4452830162878961E-2</v>
      </c>
      <c r="E95" s="111">
        <f>Calc!L102</f>
        <v>5.4611331192547623E-2</v>
      </c>
      <c r="F95" s="112">
        <f>Calc!D102</f>
        <v>0.47672950859999996</v>
      </c>
      <c r="G95" s="110">
        <f>Calc!U102</f>
        <v>3.6967533116377814E-2</v>
      </c>
      <c r="H95" s="110">
        <f>Calc!X102</f>
        <v>1.7623513896725021E-2</v>
      </c>
      <c r="I95" s="110">
        <f>Calc!H102</f>
        <v>1171411255636</v>
      </c>
      <c r="J95" s="110">
        <f>Calc!O102</f>
        <v>1.581974252378314E-6</v>
      </c>
    </row>
    <row r="96" spans="1:10">
      <c r="A96" s="110">
        <f>Calc!A103</f>
        <v>9.8279999999999999E-3</v>
      </c>
      <c r="B96" s="110">
        <f>Calc!B103</f>
        <v>0.47514299999999998</v>
      </c>
      <c r="C96" s="110">
        <f>Calc!C103</f>
        <v>5.5269999999999998E-3</v>
      </c>
      <c r="D96" s="111">
        <f>Calc!J103</f>
        <v>5.1587382980841964E-2</v>
      </c>
      <c r="E96" s="111">
        <f>Calc!L103</f>
        <v>5.1720443040287147E-2</v>
      </c>
      <c r="F96" s="112">
        <f>Calc!D103</f>
        <v>0.47172950859999996</v>
      </c>
      <c r="G96" s="110">
        <f>Calc!U103</f>
        <v>3.7080575515795654E-2</v>
      </c>
      <c r="H96" s="110">
        <f>Calc!X103</f>
        <v>1.7492001666671475E-2</v>
      </c>
      <c r="I96" s="110">
        <f>Calc!H103</f>
        <v>964282868622</v>
      </c>
      <c r="J96" s="110">
        <f>Calc!O103</f>
        <v>1.3750389355850749E-6</v>
      </c>
    </row>
    <row r="97" spans="1:10">
      <c r="A97" s="110">
        <f>Calc!A104</f>
        <v>9.9319999999999999E-3</v>
      </c>
      <c r="B97" s="110">
        <f>Calc!B104</f>
        <v>0.47001199999999999</v>
      </c>
      <c r="C97" s="110">
        <f>Calc!C104</f>
        <v>5.28E-3</v>
      </c>
      <c r="D97" s="111">
        <f>Calc!J104</f>
        <v>4.9281958049365943E-2</v>
      </c>
      <c r="E97" s="111">
        <f>Calc!L104</f>
        <v>4.9393790788793843E-2</v>
      </c>
      <c r="F97" s="112">
        <f>Calc!D104</f>
        <v>0.46659850859999996</v>
      </c>
      <c r="G97" s="110">
        <f>Calc!U104</f>
        <v>3.7171554598785794E-2</v>
      </c>
      <c r="H97" s="110">
        <f>Calc!X104</f>
        <v>1.7344191938136921E-2</v>
      </c>
      <c r="I97" s="110">
        <f>Calc!H104</f>
        <v>789738288225</v>
      </c>
      <c r="J97" s="110">
        <f>Calc!O104</f>
        <v>1.1791895374666685E-6</v>
      </c>
    </row>
    <row r="98" spans="1:10">
      <c r="A98" s="110">
        <f>Calc!A105</f>
        <v>1.0036E-2</v>
      </c>
      <c r="B98" s="110">
        <f>Calc!B105</f>
        <v>0.46475300000000003</v>
      </c>
      <c r="C98" s="110">
        <f>Calc!C105</f>
        <v>5.0150000000000004E-3</v>
      </c>
      <c r="D98" s="111">
        <f>Calc!J105</f>
        <v>4.6808526442721633E-2</v>
      </c>
      <c r="E98" s="111">
        <f>Calc!L105</f>
        <v>4.6901936212388994E-2</v>
      </c>
      <c r="F98" s="112">
        <f>Calc!D105</f>
        <v>0.4613395086</v>
      </c>
      <c r="G98" s="110">
        <f>Calc!U105</f>
        <v>3.7268993588286954E-2</v>
      </c>
      <c r="H98" s="110">
        <f>Calc!X105</f>
        <v>1.7193659188036853E-2</v>
      </c>
      <c r="I98" s="110">
        <f>Calc!H105</f>
        <v>643571175674.5</v>
      </c>
      <c r="J98" s="110">
        <f>Calc!O105</f>
        <v>1.0119955294727346E-6</v>
      </c>
    </row>
    <row r="99" spans="1:10">
      <c r="A99" s="110">
        <f>Calc!A106</f>
        <v>1.014E-2</v>
      </c>
      <c r="B99" s="110">
        <f>Calc!B106</f>
        <v>0.45949600000000002</v>
      </c>
      <c r="C99" s="110">
        <f>Calc!C106</f>
        <v>4.7520000000000001E-3</v>
      </c>
      <c r="D99" s="111">
        <f>Calc!J106</f>
        <v>4.435376224442935E-2</v>
      </c>
      <c r="E99" s="111">
        <f>Calc!L106</f>
        <v>4.4429861399943975E-2</v>
      </c>
      <c r="F99" s="112">
        <f>Calc!D106</f>
        <v>0.45608250859999999</v>
      </c>
      <c r="G99" s="110">
        <f>Calc!U106</f>
        <v>3.7365659129677986E-2</v>
      </c>
      <c r="H99" s="110">
        <f>Calc!X106</f>
        <v>1.7041823551356028E-2</v>
      </c>
      <c r="I99" s="110">
        <f>Calc!H106</f>
        <v>524495966337.5</v>
      </c>
      <c r="J99" s="110">
        <f>Calc!O106</f>
        <v>8.7064272444460468E-7</v>
      </c>
    </row>
    <row r="100" spans="1:10">
      <c r="A100" s="110">
        <f>Calc!A107</f>
        <v>1.0244E-2</v>
      </c>
      <c r="B100" s="110">
        <f>Calc!B107</f>
        <v>0.45415100000000003</v>
      </c>
      <c r="C100" s="110">
        <f>Calc!C107</f>
        <v>4.4970000000000001E-3</v>
      </c>
      <c r="D100" s="111">
        <f>Calc!J107</f>
        <v>4.1973667679545197E-2</v>
      </c>
      <c r="E100" s="111">
        <f>Calc!L107</f>
        <v>4.2036510015401839E-2</v>
      </c>
      <c r="F100" s="112">
        <f>Calc!D107</f>
        <v>0.4507375086</v>
      </c>
      <c r="G100" s="110">
        <f>Calc!U107</f>
        <v>3.7459246348867742E-2</v>
      </c>
      <c r="H100" s="110">
        <f>Calc!X107</f>
        <v>1.6884287373322291E-2</v>
      </c>
      <c r="I100" s="110">
        <f>Calc!H107</f>
        <v>425989580889.5</v>
      </c>
      <c r="J100" s="110">
        <f>Calc!O107</f>
        <v>7.4738625312157955E-7</v>
      </c>
    </row>
    <row r="101" spans="1:10">
      <c r="A101" s="110">
        <f>Calc!A108</f>
        <v>1.0348E-2</v>
      </c>
      <c r="B101" s="110">
        <f>Calc!B108</f>
        <v>0.44871899999999998</v>
      </c>
      <c r="C101" s="110">
        <f>Calc!C108</f>
        <v>4.2750000000000002E-3</v>
      </c>
      <c r="D101" s="111">
        <f>Calc!J108</f>
        <v>3.9901585352469585E-2</v>
      </c>
      <c r="E101" s="111">
        <f>Calc!L108</f>
        <v>3.9953281053999534E-2</v>
      </c>
      <c r="F101" s="112">
        <f>Calc!D108</f>
        <v>0.44530550859999996</v>
      </c>
      <c r="G101" s="110">
        <f>Calc!U108</f>
        <v>3.7540706850945453E-2</v>
      </c>
      <c r="H101" s="110">
        <f>Calc!X108</f>
        <v>1.6717083557463767E-2</v>
      </c>
      <c r="I101" s="110">
        <f>Calc!H108</f>
        <v>344813416905.5</v>
      </c>
      <c r="J101" s="110">
        <f>Calc!O108</f>
        <v>6.365089091918556E-7</v>
      </c>
    </row>
    <row r="102" spans="1:10">
      <c r="A102" s="110">
        <f>Calc!A109</f>
        <v>1.0451999999999999E-2</v>
      </c>
      <c r="B102" s="110">
        <f>Calc!B109</f>
        <v>0.44323200000000001</v>
      </c>
      <c r="C102" s="110">
        <f>Calc!C109</f>
        <v>4.0740000000000004E-3</v>
      </c>
      <c r="D102" s="111">
        <f>Calc!J109</f>
        <v>3.8025510813090316E-2</v>
      </c>
      <c r="E102" s="111">
        <f>Calc!L109</f>
        <v>3.8067689029792975E-2</v>
      </c>
      <c r="F102" s="112">
        <f>Calc!D109</f>
        <v>0.43981850859999999</v>
      </c>
      <c r="G102" s="110">
        <f>Calc!U109</f>
        <v>3.7614439155868006E-2</v>
      </c>
      <c r="H102" s="110">
        <f>Calc!X109</f>
        <v>1.654352653135931E-2</v>
      </c>
      <c r="I102" s="110">
        <f>Calc!H109</f>
        <v>278508689205.5</v>
      </c>
      <c r="J102" s="110">
        <f>Calc!O109</f>
        <v>5.3957897324297452E-7</v>
      </c>
    </row>
    <row r="103" spans="1:10">
      <c r="A103" s="110">
        <f>Calc!A110</f>
        <v>1.0555999999999999E-2</v>
      </c>
      <c r="B103" s="110">
        <f>Calc!B110</f>
        <v>0.43773299999999998</v>
      </c>
      <c r="C103" s="110">
        <f>Calc!C110</f>
        <v>3.8539999999999998E-3</v>
      </c>
      <c r="D103" s="111">
        <f>Calc!J110</f>
        <v>3.5972095894366729E-2</v>
      </c>
      <c r="E103" s="111">
        <f>Calc!L110</f>
        <v>3.6006222350557088E-2</v>
      </c>
      <c r="F103" s="112">
        <f>Calc!D110</f>
        <v>0.43431950859999996</v>
      </c>
      <c r="G103" s="110">
        <f>Calc!U110</f>
        <v>3.7695048687426166E-2</v>
      </c>
      <c r="H103" s="110">
        <f>Calc!X110</f>
        <v>1.6371695022576006E-2</v>
      </c>
      <c r="I103" s="110">
        <f>Calc!H110</f>
        <v>224848368165</v>
      </c>
      <c r="J103" s="110">
        <f>Calc!O110</f>
        <v>4.605586696888735E-7</v>
      </c>
    </row>
    <row r="104" spans="1:10">
      <c r="A104" s="110">
        <f>Calc!A111</f>
        <v>1.0659999999999999E-2</v>
      </c>
      <c r="B104" s="110">
        <f>Calc!B111</f>
        <v>0.43223499999999998</v>
      </c>
      <c r="C104" s="110">
        <f>Calc!C111</f>
        <v>3.64E-3</v>
      </c>
      <c r="D104" s="111">
        <f>Calc!J111</f>
        <v>3.3974683200699247E-2</v>
      </c>
      <c r="E104" s="111">
        <f>Calc!L111</f>
        <v>3.4002230693948907E-2</v>
      </c>
      <c r="F104" s="112">
        <f>Calc!D111</f>
        <v>0.42882150859999996</v>
      </c>
      <c r="G104" s="110">
        <f>Calc!U111</f>
        <v>3.7773410773174511E-2</v>
      </c>
      <c r="H104" s="110">
        <f>Calc!X111</f>
        <v>1.6198050992720186E-2</v>
      </c>
      <c r="I104" s="110">
        <f>Calc!H111</f>
        <v>181533596499</v>
      </c>
      <c r="J104" s="110">
        <f>Calc!O111</f>
        <v>3.9375164695806751E-7</v>
      </c>
    </row>
    <row r="105" spans="1:10">
      <c r="A105" s="110">
        <f>Calc!A112</f>
        <v>1.0763999999999999E-2</v>
      </c>
      <c r="B105" s="110">
        <f>Calc!B112</f>
        <v>0.42666199999999999</v>
      </c>
      <c r="C105" s="110">
        <f>Calc!C112</f>
        <v>3.4740000000000001E-3</v>
      </c>
      <c r="D105" s="111">
        <f>Calc!J112</f>
        <v>3.2425288307480545E-2</v>
      </c>
      <c r="E105" s="111">
        <f>Calc!L112</f>
        <v>3.2447766819368902E-2</v>
      </c>
      <c r="F105" s="112">
        <f>Calc!D112</f>
        <v>0.42324850859999996</v>
      </c>
      <c r="G105" s="110">
        <f>Calc!U112</f>
        <v>3.7834194974062214E-2</v>
      </c>
      <c r="H105" s="110">
        <f>Calc!X112</f>
        <v>1.6013266596853447E-2</v>
      </c>
      <c r="I105" s="110">
        <f>Calc!H112</f>
        <v>146135606534.5</v>
      </c>
      <c r="J105" s="110">
        <f>Calc!O112</f>
        <v>3.3215746332184937E-7</v>
      </c>
    </row>
    <row r="106" spans="1:10">
      <c r="A106" s="110">
        <f>Calc!A113</f>
        <v>1.0867999999999999E-2</v>
      </c>
      <c r="B106" s="110">
        <f>Calc!B113</f>
        <v>0.42108200000000001</v>
      </c>
      <c r="C106" s="110">
        <f>Calc!C113</f>
        <v>3.297E-3</v>
      </c>
      <c r="D106" s="111">
        <f>Calc!J113</f>
        <v>3.0773222668325665E-2</v>
      </c>
      <c r="E106" s="111">
        <f>Calc!L113</f>
        <v>3.0791335849281256E-2</v>
      </c>
      <c r="F106" s="112">
        <f>Calc!D113</f>
        <v>0.41766850859999999</v>
      </c>
      <c r="G106" s="110">
        <f>Calc!U113</f>
        <v>3.7898966394285555E-2</v>
      </c>
      <c r="H106" s="110">
        <f>Calc!X113</f>
        <v>1.5829204771382766E-2</v>
      </c>
      <c r="I106" s="110">
        <f>Calc!H113</f>
        <v>117607858849</v>
      </c>
      <c r="J106" s="110">
        <f>Calc!O113</f>
        <v>2.8169594389390197E-7</v>
      </c>
    </row>
    <row r="107" spans="1:10">
      <c r="A107" s="110">
        <f>Calc!A114</f>
        <v>1.0972000000000001E-2</v>
      </c>
      <c r="B107" s="110">
        <f>Calc!B114</f>
        <v>0.41551300000000002</v>
      </c>
      <c r="C107" s="110">
        <f>Calc!C114</f>
        <v>3.1280000000000001E-3</v>
      </c>
      <c r="D107" s="111">
        <f>Calc!J114</f>
        <v>2.9195826662578916E-2</v>
      </c>
      <c r="E107" s="111">
        <f>Calc!L114</f>
        <v>2.921038142166453E-2</v>
      </c>
      <c r="F107" s="112">
        <f>Calc!D114</f>
        <v>0.4120995086</v>
      </c>
      <c r="G107" s="110">
        <f>Calc!U114</f>
        <v>3.7960786455268652E-2</v>
      </c>
      <c r="H107" s="110">
        <f>Calc!X114</f>
        <v>1.5643621444285747E-2</v>
      </c>
      <c r="I107" s="110">
        <f>Calc!H114</f>
        <v>94689591084.5</v>
      </c>
      <c r="J107" s="110">
        <f>Calc!O114</f>
        <v>2.3907699814822612E-7</v>
      </c>
    </row>
    <row r="108" spans="1:10">
      <c r="A108" s="110">
        <f>Calc!A115</f>
        <v>1.1076000000000001E-2</v>
      </c>
      <c r="B108" s="110">
        <f>Calc!B115</f>
        <v>0.41</v>
      </c>
      <c r="C108" s="110">
        <f>Calc!C115</f>
        <v>2.9580000000000001E-3</v>
      </c>
      <c r="D108" s="111">
        <f>Calc!J115</f>
        <v>2.7609096952656148E-2</v>
      </c>
      <c r="E108" s="111">
        <f>Calc!L115</f>
        <v>2.762072292029772E-2</v>
      </c>
      <c r="F108" s="112">
        <f>Calc!D115</f>
        <v>0.40658650859999995</v>
      </c>
      <c r="G108" s="110">
        <f>Calc!U115</f>
        <v>3.8022946871647596E-2</v>
      </c>
      <c r="H108" s="110">
        <f>Calc!X115</f>
        <v>1.5459617215226486E-2</v>
      </c>
      <c r="I108" s="110">
        <f>Calc!H115</f>
        <v>76403711317.5</v>
      </c>
      <c r="J108" s="110">
        <f>Calc!O115</f>
        <v>2.0401034712293166E-7</v>
      </c>
    </row>
    <row r="109" spans="1:10">
      <c r="A109" s="110">
        <f>Calc!A116</f>
        <v>1.1180000000000001E-2</v>
      </c>
      <c r="B109" s="110">
        <f>Calc!B116</f>
        <v>0.40449200000000002</v>
      </c>
      <c r="C109" s="110">
        <f>Calc!C116</f>
        <v>2.7920000000000002E-3</v>
      </c>
      <c r="D109" s="111">
        <f>Calc!J116</f>
        <v>2.6059702059437449E-2</v>
      </c>
      <c r="E109" s="111">
        <f>Calc!L116</f>
        <v>2.6069076221426898E-2</v>
      </c>
      <c r="F109" s="112">
        <f>Calc!D116</f>
        <v>0.40107850859999999</v>
      </c>
      <c r="G109" s="110">
        <f>Calc!U116</f>
        <v>3.8083620912513542E-2</v>
      </c>
      <c r="H109" s="110">
        <f>Calc!X116</f>
        <v>1.5274521877678703E-2</v>
      </c>
      <c r="I109" s="110">
        <f>Calc!H116</f>
        <v>61661058132</v>
      </c>
      <c r="J109" s="110">
        <f>Calc!O116</f>
        <v>1.744448338087941E-7</v>
      </c>
    </row>
    <row r="110" spans="1:10">
      <c r="A110" s="110">
        <f>Calc!A117</f>
        <v>1.1284000000000001E-2</v>
      </c>
      <c r="B110" s="110">
        <f>Calc!B117</f>
        <v>0.399003</v>
      </c>
      <c r="C110" s="110">
        <f>Calc!C117</f>
        <v>2.6450000000000002E-3</v>
      </c>
      <c r="D110" s="111">
        <f>Calc!J117</f>
        <v>2.4687647545563057E-2</v>
      </c>
      <c r="E110" s="111">
        <f>Calc!L117</f>
        <v>2.4695192384580046E-2</v>
      </c>
      <c r="F110" s="112">
        <f>Calc!D117</f>
        <v>0.39558950859999997</v>
      </c>
      <c r="G110" s="110">
        <f>Calc!U117</f>
        <v>3.8137343892185767E-2</v>
      </c>
      <c r="H110" s="110">
        <f>Calc!X117</f>
        <v>1.5086733129618978E-2</v>
      </c>
      <c r="I110" s="110">
        <f>Calc!H117</f>
        <v>49799901536.5</v>
      </c>
      <c r="J110" s="110">
        <f>Calc!O117</f>
        <v>1.4872666902002372E-7</v>
      </c>
    </row>
    <row r="111" spans="1:10">
      <c r="A111" s="110">
        <f>Calc!A118</f>
        <v>1.1388000000000001E-2</v>
      </c>
      <c r="B111" s="110">
        <f>Calc!B118</f>
        <v>0.39359</v>
      </c>
      <c r="C111" s="110">
        <f>Calc!C118</f>
        <v>2.4970000000000001E-3</v>
      </c>
      <c r="D111" s="111">
        <f>Calc!J118</f>
        <v>2.3306259327512645E-2</v>
      </c>
      <c r="E111" s="111">
        <f>Calc!L118</f>
        <v>2.3312286274537845E-2</v>
      </c>
      <c r="F111" s="112">
        <f>Calc!D118</f>
        <v>0.39017650859999997</v>
      </c>
      <c r="G111" s="110">
        <f>Calc!U118</f>
        <v>3.8191419669806742E-2</v>
      </c>
      <c r="H111" s="110">
        <f>Calc!X118</f>
        <v>1.4901394785242559E-2</v>
      </c>
      <c r="I111" s="110">
        <f>Calc!H118</f>
        <v>40339500386</v>
      </c>
      <c r="J111" s="110">
        <f>Calc!O118</f>
        <v>1.2761990838891286E-7</v>
      </c>
    </row>
    <row r="112" spans="1:10">
      <c r="A112" s="110">
        <f>Calc!A119</f>
        <v>1.1492E-2</v>
      </c>
      <c r="B112" s="110">
        <f>Calc!B119</f>
        <v>0.38820900000000003</v>
      </c>
      <c r="C112" s="110">
        <f>Calc!C119</f>
        <v>2.3730000000000001E-3</v>
      </c>
      <c r="D112" s="111">
        <f>Calc!J119</f>
        <v>2.2148880009686626E-2</v>
      </c>
      <c r="E112" s="111">
        <f>Calc!L119</f>
        <v>2.2153739219252226E-2</v>
      </c>
      <c r="F112" s="112">
        <f>Calc!D119</f>
        <v>0.3847955086</v>
      </c>
      <c r="G112" s="110">
        <f>Calc!U119</f>
        <v>3.8236722335309579E-2</v>
      </c>
      <c r="H112" s="110">
        <f>Calc!X119</f>
        <v>1.4713319018212429E-2</v>
      </c>
      <c r="I112" s="110">
        <f>Calc!H119</f>
        <v>32716990422</v>
      </c>
      <c r="J112" s="110">
        <f>Calc!O119</f>
        <v>1.0891785722869526E-7</v>
      </c>
    </row>
    <row r="113" spans="1:10">
      <c r="A113" s="110">
        <f>Calc!A120</f>
        <v>1.1596E-2</v>
      </c>
      <c r="B113" s="110">
        <f>Calc!B120</f>
        <v>0.38290600000000002</v>
      </c>
      <c r="C113" s="110">
        <f>Calc!C120</f>
        <v>2.2659999999999998E-3</v>
      </c>
      <c r="D113" s="111">
        <f>Calc!J120</f>
        <v>2.1150173662852882E-2</v>
      </c>
      <c r="E113" s="111">
        <f>Calc!L120</f>
        <v>2.1154069365885105E-2</v>
      </c>
      <c r="F113" s="112">
        <f>Calc!D120</f>
        <v>0.3794925086</v>
      </c>
      <c r="G113" s="110">
        <f>Calc!U120</f>
        <v>3.8275812425585795E-2</v>
      </c>
      <c r="H113" s="110">
        <f>Calc!X120</f>
        <v>1.4525384076088605E-2</v>
      </c>
      <c r="I113" s="110">
        <f>Calc!H120</f>
        <v>26615495669.5</v>
      </c>
      <c r="J113" s="110">
        <f>Calc!O120</f>
        <v>9.2792615371548867E-8</v>
      </c>
    </row>
    <row r="114" spans="1:10">
      <c r="A114" s="110">
        <f>Calc!A121</f>
        <v>1.17E-2</v>
      </c>
      <c r="B114" s="110">
        <f>Calc!B121</f>
        <v>0.37764700000000001</v>
      </c>
      <c r="C114" s="110">
        <f>Calc!C121</f>
        <v>2.137E-3</v>
      </c>
      <c r="D114" s="111">
        <f>Calc!J121</f>
        <v>1.9946125824146784E-2</v>
      </c>
      <c r="E114" s="111">
        <f>Calc!L121</f>
        <v>1.9949274098544547E-2</v>
      </c>
      <c r="F114" s="112">
        <f>Calc!D121</f>
        <v>0.37423350859999999</v>
      </c>
      <c r="G114" s="110">
        <f>Calc!U121</f>
        <v>3.8322923534924613E-2</v>
      </c>
      <c r="H114" s="110">
        <f>Calc!X121</f>
        <v>1.4341722134284352E-2</v>
      </c>
      <c r="I114" s="110">
        <f>Calc!H121</f>
        <v>21688996205</v>
      </c>
      <c r="J114" s="110">
        <f>Calc!O121</f>
        <v>8.0183523466850125E-8</v>
      </c>
    </row>
    <row r="115" spans="1:10">
      <c r="A115" s="110">
        <f>Calc!A122</f>
        <v>1.1804E-2</v>
      </c>
      <c r="B115" s="110">
        <f>Calc!B122</f>
        <v>0.37242999999999998</v>
      </c>
      <c r="C115" s="110">
        <f>Calc!C122</f>
        <v>2.0200000000000001E-3</v>
      </c>
      <c r="D115" s="111">
        <f>Calc!J122</f>
        <v>1.885408243555288E-2</v>
      </c>
      <c r="E115" s="111">
        <f>Calc!L122</f>
        <v>1.8856631643519702E-2</v>
      </c>
      <c r="F115" s="112">
        <f>Calc!D122</f>
        <v>0.36901650859999996</v>
      </c>
      <c r="G115" s="110">
        <f>Calc!U122</f>
        <v>3.8365649132843446E-2</v>
      </c>
      <c r="H115" s="110">
        <f>Calc!X122</f>
        <v>1.4157557893174504E-2</v>
      </c>
      <c r="I115" s="110">
        <f>Calc!H122</f>
        <v>17703300307.5</v>
      </c>
      <c r="J115" s="110">
        <f>Calc!O122</f>
        <v>6.9240931237852244E-8</v>
      </c>
    </row>
    <row r="116" spans="1:10">
      <c r="A116" s="110">
        <f>Calc!A123</f>
        <v>1.1908E-2</v>
      </c>
      <c r="B116" s="110">
        <f>Calc!B123</f>
        <v>0.36732500000000001</v>
      </c>
      <c r="C116" s="110">
        <f>Calc!C123</f>
        <v>1.9059999999999999E-3</v>
      </c>
      <c r="D116" s="111">
        <f>Calc!J123</f>
        <v>1.7790040159487024E-2</v>
      </c>
      <c r="E116" s="111">
        <f>Calc!L123</f>
        <v>1.7792085135858525E-2</v>
      </c>
      <c r="F116" s="112">
        <f>Calc!D123</f>
        <v>0.36391150859999999</v>
      </c>
      <c r="G116" s="110">
        <f>Calc!U123</f>
        <v>3.8407276094932524E-2</v>
      </c>
      <c r="H116" s="110">
        <f>Calc!X123</f>
        <v>1.3976849784923612E-2</v>
      </c>
      <c r="I116" s="110">
        <f>Calc!H123</f>
        <v>14513165982</v>
      </c>
      <c r="J116" s="110">
        <f>Calc!O123</f>
        <v>6.0160037069389249E-8</v>
      </c>
    </row>
    <row r="117" spans="1:10">
      <c r="A117" s="110">
        <f>Calc!A124</f>
        <v>1.2012E-2</v>
      </c>
      <c r="B117" s="110">
        <f>Calc!B124</f>
        <v>0.36228300000000002</v>
      </c>
      <c r="C117" s="110">
        <f>Calc!C124</f>
        <v>1.818E-3</v>
      </c>
      <c r="D117" s="111">
        <f>Calc!J124</f>
        <v>1.6968674191997591E-2</v>
      </c>
      <c r="E117" s="111">
        <f>Calc!L124</f>
        <v>1.6970334040127252E-2</v>
      </c>
      <c r="F117" s="112">
        <f>Calc!D124</f>
        <v>0.3588695086</v>
      </c>
      <c r="G117" s="110">
        <f>Calc!U124</f>
        <v>3.8439409028028899E-2</v>
      </c>
      <c r="H117" s="110">
        <f>Calc!X124</f>
        <v>1.3794731828763134E-2</v>
      </c>
      <c r="I117" s="110">
        <f>Calc!H124</f>
        <v>11927103027</v>
      </c>
      <c r="J117" s="110">
        <f>Calc!O124</f>
        <v>5.183431466528886E-8</v>
      </c>
    </row>
    <row r="118" spans="1:10">
      <c r="A118" s="110">
        <f>Calc!A125</f>
        <v>1.2116E-2</v>
      </c>
      <c r="B118" s="110">
        <f>Calc!B125</f>
        <v>0.35734300000000002</v>
      </c>
      <c r="C118" s="110">
        <f>Calc!C125</f>
        <v>1.717E-3</v>
      </c>
      <c r="D118" s="111">
        <f>Calc!J125</f>
        <v>1.6025970070219948E-2</v>
      </c>
      <c r="E118" s="111">
        <f>Calc!L125</f>
        <v>1.6027311875572561E-2</v>
      </c>
      <c r="F118" s="112">
        <f>Calc!D125</f>
        <v>0.3539295086</v>
      </c>
      <c r="G118" s="110">
        <f>Calc!U125</f>
        <v>3.8476284023729483E-2</v>
      </c>
      <c r="H118" s="110">
        <f>Calc!X125</f>
        <v>1.3617892297272607E-2</v>
      </c>
      <c r="I118" s="110">
        <f>Calc!H125</f>
        <v>9840833960</v>
      </c>
      <c r="J118" s="110">
        <f>Calc!O125</f>
        <v>4.5283918209035169E-8</v>
      </c>
    </row>
    <row r="119" spans="1:10">
      <c r="A119" s="110">
        <f>Calc!A126</f>
        <v>1.222E-2</v>
      </c>
      <c r="B119" s="110">
        <f>Calc!B126</f>
        <v>0.35244999999999999</v>
      </c>
      <c r="C119" s="110">
        <f>Calc!C126</f>
        <v>1.6230000000000001E-3</v>
      </c>
      <c r="D119" s="111">
        <f>Calc!J126</f>
        <v>1.5148601877674419E-2</v>
      </c>
      <c r="E119" s="111">
        <f>Calc!L126</f>
        <v>1.5149700451541235E-2</v>
      </c>
      <c r="F119" s="112">
        <f>Calc!D126</f>
        <v>0.34903650859999996</v>
      </c>
      <c r="G119" s="110">
        <f>Calc!U126</f>
        <v>3.8510601263243384E-2</v>
      </c>
      <c r="H119" s="110">
        <f>Calc!X126</f>
        <v>1.344160580900922E-2</v>
      </c>
      <c r="I119" s="110">
        <f>Calc!H126</f>
        <v>8134357929.5</v>
      </c>
      <c r="J119" s="110">
        <f>Calc!O126</f>
        <v>3.9599710744005733E-8</v>
      </c>
    </row>
    <row r="120" spans="1:10">
      <c r="A120" s="110">
        <f>Calc!A127</f>
        <v>1.2324E-2</v>
      </c>
      <c r="B120" s="110">
        <f>Calc!B127</f>
        <v>0.34766599999999998</v>
      </c>
      <c r="C120" s="110">
        <f>Calc!C127</f>
        <v>1.5380000000000001E-3</v>
      </c>
      <c r="D120" s="111">
        <f>Calc!J127</f>
        <v>1.4355237022713034E-2</v>
      </c>
      <c r="E120" s="111">
        <f>Calc!L127</f>
        <v>1.4356128641346642E-2</v>
      </c>
      <c r="F120" s="112">
        <f>Calc!D127</f>
        <v>0.34425250859999995</v>
      </c>
      <c r="G120" s="110">
        <f>Calc!U127</f>
        <v>3.8541632301737419E-2</v>
      </c>
      <c r="H120" s="110">
        <f>Calc!X127</f>
        <v>1.3268053605411896E-2</v>
      </c>
      <c r="I120" s="110">
        <f>Calc!H127</f>
        <v>6752383693.5</v>
      </c>
      <c r="J120" s="110">
        <f>Calc!O127</f>
        <v>3.4689061649146883E-8</v>
      </c>
    </row>
    <row r="121" spans="1:10">
      <c r="A121" s="110">
        <f>Calc!A128</f>
        <v>1.2428E-2</v>
      </c>
      <c r="B121" s="110">
        <f>Calc!B128</f>
        <v>0.342949</v>
      </c>
      <c r="C121" s="110">
        <f>Calc!C128</f>
        <v>1.4530000000000001E-3</v>
      </c>
      <c r="D121" s="111">
        <f>Calc!J128</f>
        <v>1.3561872167751652E-2</v>
      </c>
      <c r="E121" s="111">
        <f>Calc!L128</f>
        <v>1.3562603846197641E-2</v>
      </c>
      <c r="F121" s="112">
        <f>Calc!D128</f>
        <v>0.33953550859999998</v>
      </c>
      <c r="G121" s="110">
        <f>Calc!U128</f>
        <v>3.8572661501802129E-2</v>
      </c>
      <c r="H121" s="110">
        <f>Calc!X128</f>
        <v>1.3096788241070025E-2</v>
      </c>
      <c r="I121" s="110">
        <f>Calc!H128</f>
        <v>5619833704</v>
      </c>
      <c r="J121" s="110">
        <f>Calc!O128</f>
        <v>3.055998727905146E-8</v>
      </c>
    </row>
    <row r="122" spans="1:10">
      <c r="A122" s="110">
        <f>Calc!A129</f>
        <v>1.2532E-2</v>
      </c>
      <c r="B122" s="110">
        <f>Calc!B129</f>
        <v>0.33837</v>
      </c>
      <c r="C122" s="110">
        <f>Calc!C129</f>
        <v>1.3829999999999999E-3</v>
      </c>
      <c r="D122" s="111">
        <f>Calc!J129</f>
        <v>1.290851287543051E-2</v>
      </c>
      <c r="E122" s="111">
        <f>Calc!L129</f>
        <v>1.2909107200573621E-2</v>
      </c>
      <c r="F122" s="112">
        <f>Calc!D129</f>
        <v>0.33495650859999998</v>
      </c>
      <c r="G122" s="110">
        <f>Calc!U129</f>
        <v>3.8598215181135972E-2</v>
      </c>
      <c r="H122" s="110">
        <f>Calc!X129</f>
        <v>1.292872339526482E-2</v>
      </c>
      <c r="I122" s="110">
        <f>Calc!H129</f>
        <v>4702431567</v>
      </c>
      <c r="J122" s="110">
        <f>Calc!O129</f>
        <v>2.6865755490808581E-8</v>
      </c>
    </row>
    <row r="123" spans="1:10">
      <c r="A123" s="110">
        <f>Calc!A130</f>
        <v>1.2636E-2</v>
      </c>
      <c r="B123" s="110">
        <f>Calc!B130</f>
        <v>0.324208</v>
      </c>
      <c r="C123" s="110">
        <f>Calc!C130</f>
        <v>1.1640000000000001E-3</v>
      </c>
      <c r="D123" s="111">
        <f>Calc!J130</f>
        <v>1.0864431660882948E-2</v>
      </c>
      <c r="E123" s="111">
        <f>Calc!L130</f>
        <v>1.0865490893154061E-2</v>
      </c>
      <c r="F123" s="112">
        <f>Calc!D130</f>
        <v>0.32079450859999997</v>
      </c>
      <c r="G123" s="110">
        <f>Calc!U130</f>
        <v>3.8678126709605E-2</v>
      </c>
      <c r="H123" s="110">
        <f>Calc!X130</f>
        <v>1.2407730651376269E-2</v>
      </c>
      <c r="I123" s="110">
        <f>Calc!H130</f>
        <v>2709789264</v>
      </c>
      <c r="J123" s="110">
        <f>Calc!O130</f>
        <v>1.8393270028918745E-8</v>
      </c>
    </row>
    <row r="124" spans="1:10">
      <c r="A124" s="110">
        <f>Calc!A131</f>
        <v>1.274E-2</v>
      </c>
      <c r="B124" s="110">
        <f>Calc!B131</f>
        <v>0.25262600000000002</v>
      </c>
      <c r="C124" s="110">
        <f>Calc!C131</f>
        <v>3.3700000000000001E-4</v>
      </c>
      <c r="D124" s="111">
        <f>Calc!J131</f>
        <v>3.1454583073174855E-3</v>
      </c>
      <c r="E124" s="111">
        <f>Calc!L131</f>
        <v>3.1457884379549896E-3</v>
      </c>
      <c r="F124" s="112">
        <f>Calc!D131</f>
        <v>0.24921250860000002</v>
      </c>
      <c r="G124" s="110">
        <f>Calc!U131</f>
        <v>3.8979990234710646E-2</v>
      </c>
      <c r="H124" s="110">
        <f>Calc!X131</f>
        <v>9.7143011515957445E-3</v>
      </c>
      <c r="I124" s="110">
        <f>Calc!H131</f>
        <v>167090113</v>
      </c>
      <c r="J124" s="110">
        <f>Calc!O131</f>
        <v>3.9173648476792589E-9</v>
      </c>
    </row>
    <row r="125" spans="1:10">
      <c r="A125" s="110">
        <f>Calc!A132</f>
        <v>1.2844E-2</v>
      </c>
      <c r="B125" s="110">
        <f>Calc!B132</f>
        <v>0.21644099999999999</v>
      </c>
      <c r="C125" s="110">
        <f>Calc!C132</f>
        <v>1.47E-4</v>
      </c>
      <c r="D125" s="111">
        <f>Calc!J132</f>
        <v>1.3720545138743926E-3</v>
      </c>
      <c r="E125" s="111">
        <f>Calc!L132</f>
        <v>1.3720953230822069E-3</v>
      </c>
      <c r="F125" s="112">
        <f>Calc!D132</f>
        <v>0.2130275086</v>
      </c>
      <c r="G125" s="110">
        <f>Calc!U132</f>
        <v>3.9049346956581514E-2</v>
      </c>
      <c r="H125" s="110">
        <f>Calc!X132</f>
        <v>8.3185850946175515E-3</v>
      </c>
      <c r="I125" s="110">
        <f>Calc!H132</f>
        <v>40859997</v>
      </c>
      <c r="J125" s="110">
        <f>Calc!O132</f>
        <v>2.1962755531875016E-9</v>
      </c>
    </row>
    <row r="126" spans="1:10">
      <c r="A126" s="110">
        <f>Calc!A133</f>
        <v>1.2947999999999999E-2</v>
      </c>
      <c r="B126" s="110">
        <f>Calc!B133</f>
        <v>0</v>
      </c>
      <c r="C126" s="110">
        <f>Calc!C133</f>
        <v>0</v>
      </c>
      <c r="D126" s="111">
        <f>Calc!J133</f>
        <v>1E-4</v>
      </c>
      <c r="E126" s="111">
        <f>Calc!L133</f>
        <v>1E-3</v>
      </c>
      <c r="F126" s="112">
        <f>Calc!D133</f>
        <v>-3.4134914000000034E-3</v>
      </c>
      <c r="G126" s="110">
        <f>Calc!U133</f>
        <v>3.9063897E-2</v>
      </c>
      <c r="H126" s="110">
        <f>Calc!X133</f>
        <v>-1.3334427645998593E-4</v>
      </c>
      <c r="I126" s="110">
        <f>Calc!H133</f>
        <v>8968</v>
      </c>
      <c r="J126" s="110">
        <f>Calc!O133</f>
        <v>6.6140638119194937E-13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65</vt:i4>
      </vt:variant>
    </vt:vector>
  </HeadingPairs>
  <TitlesOfParts>
    <vt:vector size="69" baseType="lpstr">
      <vt:lpstr>User</vt:lpstr>
      <vt:lpstr>Settings</vt:lpstr>
      <vt:lpstr>Summary</vt:lpstr>
      <vt:lpstr>RawData</vt:lpstr>
      <vt:lpstr>AccessSummaryFN</vt:lpstr>
      <vt:lpstr>Apparent_Rs</vt:lpstr>
      <vt:lpstr>Ave_Ch1_Voltage</vt:lpstr>
      <vt:lpstr>BandGapSetting</vt:lpstr>
      <vt:lpstr>BaseTypeList</vt:lpstr>
      <vt:lpstr>Criteria</vt:lpstr>
      <vt:lpstr>Database</vt:lpstr>
      <vt:lpstr>ErrorMsg</vt:lpstr>
      <vt:lpstr>eta_0_1sun</vt:lpstr>
      <vt:lpstr>eta_1sun</vt:lpstr>
      <vt:lpstr>ExcelSummaryFN</vt:lpstr>
      <vt:lpstr>IsLogged</vt:lpstr>
      <vt:lpstr>Jmp</vt:lpstr>
      <vt:lpstr>Jo_1</vt:lpstr>
      <vt:lpstr>Jo_1pA</vt:lpstr>
      <vt:lpstr>Jo_2</vt:lpstr>
      <vt:lpstr>Jo_2nA</vt:lpstr>
      <vt:lpstr>Jsc</vt:lpstr>
      <vt:lpstr>k</vt:lpstr>
      <vt:lpstr>Max_Ch1_voltage</vt:lpstr>
      <vt:lpstr>MaxPV</vt:lpstr>
      <vt:lpstr>MeasDate</vt:lpstr>
      <vt:lpstr>MeasTime</vt:lpstr>
      <vt:lpstr>MeasureCommand</vt:lpstr>
      <vt:lpstr>MeasureTempCommand</vt:lpstr>
      <vt:lpstr>Mode</vt:lpstr>
      <vt:lpstr>ModeList</vt:lpstr>
      <vt:lpstr>ni_SproulGreen</vt:lpstr>
      <vt:lpstr>NumCells</vt:lpstr>
      <vt:lpstr>OnOffList</vt:lpstr>
      <vt:lpstr>PCGainSetting</vt:lpstr>
      <vt:lpstr>PFF</vt:lpstr>
      <vt:lpstr>Pmax</vt:lpstr>
      <vt:lpstr>User!Print_Area</vt:lpstr>
      <vt:lpstr>Pseudo_Efficiency</vt:lpstr>
      <vt:lpstr>PulseLength</vt:lpstr>
      <vt:lpstr>q</vt:lpstr>
      <vt:lpstr>RefCellCal</vt:lpstr>
      <vt:lpstr>RefGainSetting</vt:lpstr>
      <vt:lpstr>Rsh_lower_bound</vt:lpstr>
      <vt:lpstr>Rshunt</vt:lpstr>
      <vt:lpstr>SampleDoping</vt:lpstr>
      <vt:lpstr>SampleNameUserSheet</vt:lpstr>
      <vt:lpstr>SerialNumber</vt:lpstr>
      <vt:lpstr>sum_shuntsquares</vt:lpstr>
      <vt:lpstr>sum_squares</vt:lpstr>
      <vt:lpstr>Temp</vt:lpstr>
      <vt:lpstr>TempCo</vt:lpstr>
      <vt:lpstr>TextSummaryFN</vt:lpstr>
      <vt:lpstr>TF_AccessSummary</vt:lpstr>
      <vt:lpstr>TF_AutoSave</vt:lpstr>
      <vt:lpstr>TF_AutoSummary</vt:lpstr>
      <vt:lpstr>TF_ExcelSummary</vt:lpstr>
      <vt:lpstr>TF_List</vt:lpstr>
      <vt:lpstr>TF_ShowErrors</vt:lpstr>
      <vt:lpstr>TF_TextSummary</vt:lpstr>
      <vt:lpstr>TF_UseSampleNameInputBox</vt:lpstr>
      <vt:lpstr>TimeofMaxPV</vt:lpstr>
      <vt:lpstr>Vmp</vt:lpstr>
      <vt:lpstr>Voc</vt:lpstr>
      <vt:lpstr>Voc_0_1suns</vt:lpstr>
      <vt:lpstr>VoltRangeList</vt:lpstr>
      <vt:lpstr>Wafer_Thickness</vt:lpstr>
      <vt:lpstr>WaferRes</vt:lpstr>
      <vt:lpstr>WaferType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Sisi Wang</cp:lastModifiedBy>
  <cp:lastPrinted>2010-10-21T22:11:49Z</cp:lastPrinted>
  <dcterms:created xsi:type="dcterms:W3CDTF">1998-06-23T16:13:05Z</dcterms:created>
  <dcterms:modified xsi:type="dcterms:W3CDTF">2015-07-21T01:43:59Z</dcterms:modified>
</cp:coreProperties>
</file>